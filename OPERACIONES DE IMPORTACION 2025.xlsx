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paredes_consultant\Documents\"/>
    </mc:Choice>
  </mc:AlternateContent>
  <bookViews>
    <workbookView minimized="1" xWindow="-105" yWindow="-105" windowWidth="23265" windowHeight="12465" tabRatio="810" firstSheet="1" activeTab="2"/>
  </bookViews>
  <sheets>
    <sheet name="BASE" sheetId="21" state="hidden" r:id="rId1"/>
    <sheet name="REPORTE DE IMPORTACIONES" sheetId="42" r:id="rId2"/>
    <sheet name="CONCENTRADO ANUAL 2025" sheetId="41" r:id="rId3"/>
    <sheet name="DESCARGO" sheetId="24" r:id="rId4"/>
  </sheets>
  <definedNames>
    <definedName name="_xlnm._FilterDatabase" localSheetId="2" hidden="1">'CONCENTRADO ANUAL 2025'!$A$2:$BH$92</definedName>
    <definedName name="_xlnm.Print_Area" localSheetId="3">DESCARGO!$A$1:$I$45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67" i="41" l="1"/>
  <c r="BF67" i="41" s="1"/>
  <c r="BB67" i="41"/>
  <c r="AW67" i="41"/>
  <c r="X67" i="41"/>
  <c r="BD66" i="41"/>
  <c r="BF66" i="41" s="1"/>
  <c r="BB66" i="41"/>
  <c r="AW66" i="41"/>
  <c r="X66" i="41"/>
  <c r="BF65" i="41"/>
  <c r="BD65" i="41"/>
  <c r="BE65" i="41" s="1"/>
  <c r="BB65" i="41"/>
  <c r="AW65" i="41"/>
  <c r="X65" i="41"/>
  <c r="BE67" i="41" l="1"/>
  <c r="BG67" i="41" s="1"/>
  <c r="BE66" i="41"/>
  <c r="BG66" i="41" s="1"/>
  <c r="BG65" i="41"/>
  <c r="BD53" i="41"/>
  <c r="BF53" i="41" s="1"/>
  <c r="AW53" i="41"/>
  <c r="X53" i="41"/>
  <c r="BE53" i="41" l="1"/>
  <c r="BG53" i="41" s="1"/>
  <c r="BD92" i="41"/>
  <c r="BF92" i="41" s="1"/>
  <c r="BB92" i="41"/>
  <c r="AW92" i="41"/>
  <c r="BD55" i="41"/>
  <c r="BE55" i="41" s="1"/>
  <c r="AW55" i="41"/>
  <c r="X55" i="41"/>
  <c r="BF55" i="41" l="1"/>
  <c r="BG55" i="41" s="1"/>
  <c r="BE92" i="41"/>
  <c r="BG92" i="41" s="1"/>
  <c r="BD87" i="41" l="1"/>
  <c r="BF87" i="41" s="1"/>
  <c r="BB87" i="41"/>
  <c r="AW87" i="41"/>
  <c r="BD91" i="41"/>
  <c r="BF91" i="41" s="1"/>
  <c r="BB91" i="41"/>
  <c r="AW91" i="41"/>
  <c r="BD90" i="41"/>
  <c r="BF90" i="41" s="1"/>
  <c r="BB90" i="41"/>
  <c r="AW90" i="41"/>
  <c r="BD82" i="41"/>
  <c r="BF82" i="41" s="1"/>
  <c r="BB82" i="41"/>
  <c r="AW82" i="41"/>
  <c r="BE82" i="41" l="1"/>
  <c r="BG82" i="41" s="1"/>
  <c r="BE91" i="41"/>
  <c r="BG91" i="41" s="1"/>
  <c r="BE87" i="41"/>
  <c r="BG87" i="41" s="1"/>
  <c r="BE90" i="41"/>
  <c r="BG90" i="41" s="1"/>
  <c r="BD77" i="41"/>
  <c r="BF77" i="41" s="1"/>
  <c r="AW77" i="41"/>
  <c r="X77" i="41"/>
  <c r="BD74" i="41"/>
  <c r="BF74" i="41" s="1"/>
  <c r="BB74" i="41"/>
  <c r="AW74" i="41"/>
  <c r="X74" i="41"/>
  <c r="P75" i="41"/>
  <c r="BE77" i="41" l="1"/>
  <c r="BG77" i="41" s="1"/>
  <c r="BE74" i="41"/>
  <c r="BG74" i="41" s="1"/>
  <c r="M38" i="41"/>
  <c r="BD86" i="41" l="1"/>
  <c r="BF86" i="41" s="1"/>
  <c r="BB86" i="41"/>
  <c r="AW86" i="41"/>
  <c r="BE86" i="41" l="1"/>
  <c r="BG86" i="41" s="1"/>
  <c r="BD79" i="41"/>
  <c r="BF79" i="41" s="1"/>
  <c r="BB79" i="41"/>
  <c r="AW79" i="41"/>
  <c r="X79" i="41"/>
  <c r="BE79" i="41" l="1"/>
  <c r="BG79" i="41" s="1"/>
  <c r="BD85" i="41"/>
  <c r="BF85" i="41" s="1"/>
  <c r="BB85" i="41"/>
  <c r="AW85" i="41"/>
  <c r="BD88" i="41"/>
  <c r="BF88" i="41" s="1"/>
  <c r="BB88" i="41"/>
  <c r="AW88" i="41"/>
  <c r="BD89" i="41"/>
  <c r="BE89" i="41" s="1"/>
  <c r="BB89" i="41"/>
  <c r="AW89" i="41"/>
  <c r="BD81" i="41"/>
  <c r="BF81" i="41" s="1"/>
  <c r="BB81" i="41"/>
  <c r="AW81" i="41"/>
  <c r="BE85" i="41" l="1"/>
  <c r="BG85" i="41" s="1"/>
  <c r="BE88" i="41"/>
  <c r="BG88" i="41" s="1"/>
  <c r="BF89" i="41"/>
  <c r="BG89" i="41" s="1"/>
  <c r="BE81" i="41"/>
  <c r="BG81" i="41" s="1"/>
  <c r="BD78" i="41"/>
  <c r="BF78" i="41" s="1"/>
  <c r="BB78" i="41"/>
  <c r="AW78" i="41"/>
  <c r="X78" i="41"/>
  <c r="BE78" i="41" l="1"/>
  <c r="BG78" i="41" s="1"/>
  <c r="BD41" i="41"/>
  <c r="BF41" i="41" s="1"/>
  <c r="BB41" i="41"/>
  <c r="AW41" i="41"/>
  <c r="X41" i="41"/>
  <c r="M75" i="41"/>
  <c r="BD75" i="41" s="1"/>
  <c r="BF75" i="41" s="1"/>
  <c r="BB75" i="41"/>
  <c r="AW75" i="41"/>
  <c r="X75" i="41"/>
  <c r="BE41" i="41" l="1"/>
  <c r="BG41" i="41" s="1"/>
  <c r="BE75" i="41"/>
  <c r="BD39" i="41"/>
  <c r="BF39" i="41" s="1"/>
  <c r="BB39" i="41"/>
  <c r="AW39" i="41"/>
  <c r="X39" i="41"/>
  <c r="BE39" i="41" l="1"/>
  <c r="BG39" i="41" s="1"/>
  <c r="BD49" i="41"/>
  <c r="BF49" i="41" s="1"/>
  <c r="AW49" i="41"/>
  <c r="X49" i="41"/>
  <c r="BD48" i="41"/>
  <c r="BE48" i="41" s="1"/>
  <c r="AW48" i="41"/>
  <c r="X48" i="41"/>
  <c r="BD47" i="41"/>
  <c r="BE47" i="41" s="1"/>
  <c r="AW47" i="41"/>
  <c r="X47" i="41"/>
  <c r="BD46" i="41"/>
  <c r="BF46" i="41" s="1"/>
  <c r="AW46" i="41"/>
  <c r="X46" i="41"/>
  <c r="BF48" i="41" l="1"/>
  <c r="BG48" i="41" s="1"/>
  <c r="BF47" i="41"/>
  <c r="BG47" i="41" s="1"/>
  <c r="BE49" i="41"/>
  <c r="BG49" i="41" s="1"/>
  <c r="BE46" i="41"/>
  <c r="BG46" i="41" s="1"/>
  <c r="BD73" i="41" l="1"/>
  <c r="BF73" i="41" s="1"/>
  <c r="BB73" i="41"/>
  <c r="AW73" i="41"/>
  <c r="X73" i="41"/>
  <c r="P73" i="41"/>
  <c r="X62" i="41"/>
  <c r="AW62" i="41"/>
  <c r="BB62" i="41"/>
  <c r="BD62" i="41"/>
  <c r="BE62" i="41" s="1"/>
  <c r="P72" i="41"/>
  <c r="BD72" i="41"/>
  <c r="BF72" i="41" s="1"/>
  <c r="BB72" i="41"/>
  <c r="AW72" i="41"/>
  <c r="X72" i="41"/>
  <c r="BE73" i="41" l="1"/>
  <c r="BG73" i="41" s="1"/>
  <c r="BF62" i="41"/>
  <c r="BG62" i="41" s="1"/>
  <c r="BE72" i="41"/>
  <c r="BG72" i="41" s="1"/>
  <c r="M20" i="41"/>
  <c r="BB12" i="41" l="1"/>
  <c r="BD76" i="41" l="1"/>
  <c r="BF76" i="41" s="1"/>
  <c r="BB76" i="41"/>
  <c r="AW76" i="41"/>
  <c r="X76" i="41"/>
  <c r="BE76" i="41" l="1"/>
  <c r="BG76" i="41" s="1"/>
  <c r="BB34" i="41" l="1"/>
  <c r="BB33" i="41"/>
  <c r="BB32" i="41"/>
  <c r="BB31" i="41"/>
  <c r="BB30" i="41"/>
  <c r="BB29" i="41"/>
  <c r="BB28" i="41"/>
  <c r="BB3" i="41" l="1"/>
  <c r="BD84" i="41" l="1"/>
  <c r="BE84" i="41" s="1"/>
  <c r="BB84" i="41"/>
  <c r="AW84" i="41"/>
  <c r="BD83" i="41"/>
  <c r="BF83" i="41" s="1"/>
  <c r="BB83" i="41"/>
  <c r="AW83" i="41"/>
  <c r="BD56" i="41"/>
  <c r="BF56" i="41" s="1"/>
  <c r="AW56" i="41"/>
  <c r="X56" i="41"/>
  <c r="BF84" i="41" l="1"/>
  <c r="BG84" i="41" s="1"/>
  <c r="BE83" i="41"/>
  <c r="BG83" i="41" s="1"/>
  <c r="BE56" i="41"/>
  <c r="BG56" i="41" s="1"/>
  <c r="P38" i="41"/>
  <c r="BD33" i="41" l="1"/>
  <c r="BF33" i="41" s="1"/>
  <c r="AW33" i="41"/>
  <c r="X33" i="41"/>
  <c r="W20" i="41"/>
  <c r="X20" i="41" s="1"/>
  <c r="BD52" i="41"/>
  <c r="BF52" i="41" s="1"/>
  <c r="AW52" i="41"/>
  <c r="X52" i="41"/>
  <c r="BD51" i="41"/>
  <c r="BE51" i="41" s="1"/>
  <c r="AW51" i="41"/>
  <c r="X51" i="41"/>
  <c r="BF51" i="41" l="1"/>
  <c r="BG51" i="41" s="1"/>
  <c r="BE33" i="41"/>
  <c r="BG33" i="41" s="1"/>
  <c r="BE52" i="41"/>
  <c r="BG52" i="41" s="1"/>
  <c r="W10" i="41"/>
  <c r="BD6" i="41" l="1"/>
  <c r="BF6" i="41" s="1"/>
  <c r="BB6" i="41"/>
  <c r="AW6" i="41"/>
  <c r="BD5" i="41"/>
  <c r="BF5" i="41" s="1"/>
  <c r="BB5" i="41"/>
  <c r="AW5" i="41"/>
  <c r="BE6" i="41" l="1"/>
  <c r="BG6" i="41" s="1"/>
  <c r="BE5" i="41"/>
  <c r="BG5" i="41" s="1"/>
  <c r="W28" i="41"/>
  <c r="W12" i="41"/>
  <c r="W11" i="41"/>
  <c r="W14" i="41" l="1"/>
  <c r="BD80" i="41" l="1"/>
  <c r="BE80" i="41" s="1"/>
  <c r="BB80" i="41"/>
  <c r="AW80" i="41"/>
  <c r="BD71" i="41"/>
  <c r="BF71" i="41" s="1"/>
  <c r="AW71" i="41"/>
  <c r="X71" i="41"/>
  <c r="BD70" i="41"/>
  <c r="BF70" i="41" s="1"/>
  <c r="AW70" i="41"/>
  <c r="X70" i="41"/>
  <c r="P64" i="41"/>
  <c r="P63" i="41"/>
  <c r="BD64" i="41"/>
  <c r="BE64" i="41" s="1"/>
  <c r="AW64" i="41"/>
  <c r="X64" i="41"/>
  <c r="BD63" i="41"/>
  <c r="BF63" i="41" s="1"/>
  <c r="AW63" i="41"/>
  <c r="X63" i="41"/>
  <c r="BF64" i="41" l="1"/>
  <c r="BG64" i="41" s="1"/>
  <c r="BE63" i="41"/>
  <c r="BG63" i="41" s="1"/>
  <c r="BE70" i="41"/>
  <c r="BG70" i="41" s="1"/>
  <c r="BE71" i="41"/>
  <c r="BG71" i="41" s="1"/>
  <c r="BF80" i="41"/>
  <c r="BG80" i="41" s="1"/>
  <c r="P37" i="41"/>
  <c r="BD50" i="41" l="1"/>
  <c r="BF50" i="41" s="1"/>
  <c r="AW50" i="41"/>
  <c r="X50" i="41"/>
  <c r="BE50" i="41" l="1"/>
  <c r="BG50" i="41" s="1"/>
  <c r="BD61" i="41"/>
  <c r="BE61" i="41" s="1"/>
  <c r="BB61" i="41"/>
  <c r="AW61" i="41"/>
  <c r="X61" i="41"/>
  <c r="BF61" i="41" l="1"/>
  <c r="BG61" i="41" s="1"/>
  <c r="AF31" i="41"/>
  <c r="AF30" i="41"/>
  <c r="AF29" i="41"/>
  <c r="W24" i="41"/>
  <c r="W16" i="41"/>
  <c r="M34" i="41" l="1"/>
  <c r="BD34" i="41" s="1"/>
  <c r="AW34" i="41"/>
  <c r="X34" i="41"/>
  <c r="BF34" i="41" l="1"/>
  <c r="BE34" i="41"/>
  <c r="BD37" i="41" l="1"/>
  <c r="BF37" i="41" s="1"/>
  <c r="AW37" i="41"/>
  <c r="X37" i="41"/>
  <c r="BD36" i="41"/>
  <c r="BE36" i="41" s="1"/>
  <c r="AW36" i="41"/>
  <c r="X36" i="41"/>
  <c r="BD45" i="41"/>
  <c r="BE45" i="41" s="1"/>
  <c r="AW45" i="41"/>
  <c r="X45" i="41"/>
  <c r="BD44" i="41"/>
  <c r="BF44" i="41" s="1"/>
  <c r="AW44" i="41"/>
  <c r="X44" i="41"/>
  <c r="BD43" i="41"/>
  <c r="BF43" i="41" s="1"/>
  <c r="AW43" i="41"/>
  <c r="X43" i="41"/>
  <c r="BD42" i="41"/>
  <c r="BF42" i="41" s="1"/>
  <c r="AW42" i="41"/>
  <c r="X42" i="41"/>
  <c r="BD40" i="41"/>
  <c r="BF40" i="41" s="1"/>
  <c r="AW40" i="41"/>
  <c r="X40" i="41"/>
  <c r="BD38" i="41"/>
  <c r="BF38" i="41" s="1"/>
  <c r="AW38" i="41"/>
  <c r="X38" i="41"/>
  <c r="BE44" i="41" l="1"/>
  <c r="BG44" i="41" s="1"/>
  <c r="BF36" i="41"/>
  <c r="BG36" i="41" s="1"/>
  <c r="BE37" i="41"/>
  <c r="BG37" i="41" s="1"/>
  <c r="BE43" i="41"/>
  <c r="BG43" i="41" s="1"/>
  <c r="BE38" i="41"/>
  <c r="BG38" i="41" s="1"/>
  <c r="BE42" i="41"/>
  <c r="BG42" i="41" s="1"/>
  <c r="BF45" i="41"/>
  <c r="BG45" i="41" s="1"/>
  <c r="BE40" i="41"/>
  <c r="BG40" i="41" s="1"/>
  <c r="BD57" i="41" l="1"/>
  <c r="BF57" i="41" s="1"/>
  <c r="BB57" i="41"/>
  <c r="AW57" i="41"/>
  <c r="X57" i="41"/>
  <c r="BD58" i="41"/>
  <c r="BF58" i="41" s="1"/>
  <c r="BB58" i="41"/>
  <c r="AW58" i="41"/>
  <c r="X58" i="41"/>
  <c r="BE57" i="41" l="1"/>
  <c r="BG57" i="41" s="1"/>
  <c r="BE58" i="41"/>
  <c r="BG58" i="41" s="1"/>
  <c r="BD35" i="41"/>
  <c r="BF35" i="41" s="1"/>
  <c r="AW35" i="41"/>
  <c r="X35" i="41"/>
  <c r="BE35" i="41" l="1"/>
  <c r="BG35" i="41" s="1"/>
  <c r="BD7" i="41"/>
  <c r="BE7" i="41" s="1"/>
  <c r="BD4" i="41"/>
  <c r="BF4" i="41" s="1"/>
  <c r="BD69" i="41"/>
  <c r="BE69" i="41" s="1"/>
  <c r="BD68" i="41"/>
  <c r="BE68" i="41" s="1"/>
  <c r="BD60" i="41"/>
  <c r="BE60" i="41" s="1"/>
  <c r="BD59" i="41"/>
  <c r="BE59" i="41" s="1"/>
  <c r="BD13" i="41"/>
  <c r="BE13" i="41" s="1"/>
  <c r="BD12" i="41"/>
  <c r="BF12" i="41" s="1"/>
  <c r="BD11" i="41"/>
  <c r="BE11" i="41" s="1"/>
  <c r="BD14" i="41"/>
  <c r="BE14" i="41" s="1"/>
  <c r="BD10" i="41"/>
  <c r="BE10" i="41" s="1"/>
  <c r="BD15" i="41"/>
  <c r="BF15" i="41" s="1"/>
  <c r="BD19" i="41"/>
  <c r="BE19" i="41" s="1"/>
  <c r="BD16" i="41"/>
  <c r="BE16" i="41" s="1"/>
  <c r="BD18" i="41"/>
  <c r="BE18" i="41" s="1"/>
  <c r="BD17" i="41"/>
  <c r="BF17" i="41" s="1"/>
  <c r="BD24" i="41"/>
  <c r="BE24" i="41" s="1"/>
  <c r="BD26" i="41"/>
  <c r="BE26" i="41" s="1"/>
  <c r="BD9" i="41"/>
  <c r="BF9" i="41" s="1"/>
  <c r="BD32" i="41"/>
  <c r="BE32" i="41" s="1"/>
  <c r="BD54" i="41"/>
  <c r="BF54" i="41" s="1"/>
  <c r="BD31" i="41"/>
  <c r="BE31" i="41" s="1"/>
  <c r="BD30" i="41"/>
  <c r="BF30" i="41" s="1"/>
  <c r="BD29" i="41"/>
  <c r="BE29" i="41" s="1"/>
  <c r="BD3" i="41"/>
  <c r="BF3" i="41" s="1"/>
  <c r="BD28" i="41"/>
  <c r="BE28" i="41" s="1"/>
  <c r="BD27" i="41"/>
  <c r="BF27" i="41" s="1"/>
  <c r="BD22" i="41"/>
  <c r="BE22" i="41" s="1"/>
  <c r="BD23" i="41"/>
  <c r="BF23" i="41" s="1"/>
  <c r="BD21" i="41"/>
  <c r="BE21" i="41" s="1"/>
  <c r="BF18" i="41" l="1"/>
  <c r="BF59" i="41"/>
  <c r="BG59" i="41" s="1"/>
  <c r="BF60" i="41"/>
  <c r="BG60" i="41" s="1"/>
  <c r="BF68" i="41"/>
  <c r="BG68" i="41" s="1"/>
  <c r="BF31" i="41"/>
  <c r="BG31" i="41" s="1"/>
  <c r="BF19" i="41"/>
  <c r="BG19" i="41" s="1"/>
  <c r="BF22" i="41"/>
  <c r="BG22" i="41" s="1"/>
  <c r="BF29" i="41"/>
  <c r="BG29" i="41" s="1"/>
  <c r="BF32" i="41"/>
  <c r="BG32" i="41" s="1"/>
  <c r="BF26" i="41"/>
  <c r="BG26" i="41" s="1"/>
  <c r="BF7" i="41"/>
  <c r="BG7" i="41" s="1"/>
  <c r="BF28" i="41"/>
  <c r="BG28" i="41" s="1"/>
  <c r="BF69" i="41"/>
  <c r="BG69" i="41" s="1"/>
  <c r="BF11" i="41"/>
  <c r="BG11" i="41" s="1"/>
  <c r="BF24" i="41"/>
  <c r="BF13" i="41"/>
  <c r="BG13" i="41" s="1"/>
  <c r="BF10" i="41"/>
  <c r="BG10" i="41" s="1"/>
  <c r="BF21" i="41"/>
  <c r="BG21" i="41" s="1"/>
  <c r="BE27" i="41"/>
  <c r="BG27" i="41" s="1"/>
  <c r="BE30" i="41"/>
  <c r="BG30" i="41" s="1"/>
  <c r="BE15" i="41"/>
  <c r="BE12" i="41"/>
  <c r="BG12" i="41" s="1"/>
  <c r="BE4" i="41"/>
  <c r="BG4" i="41" s="1"/>
  <c r="BF16" i="41"/>
  <c r="BF14" i="41"/>
  <c r="BE23" i="41"/>
  <c r="BG23" i="41" s="1"/>
  <c r="BE3" i="41"/>
  <c r="BG3" i="41" s="1"/>
  <c r="BE54" i="41"/>
  <c r="BG54" i="41" s="1"/>
  <c r="BE9" i="41"/>
  <c r="BG9" i="41" s="1"/>
  <c r="BE17" i="41"/>
  <c r="BB4" i="41"/>
  <c r="AW4" i="41"/>
  <c r="BB7" i="41"/>
  <c r="AW7" i="41"/>
  <c r="AW3" i="41"/>
  <c r="X3" i="41"/>
  <c r="AW32" i="41" l="1"/>
  <c r="X32" i="41"/>
  <c r="AW54" i="41"/>
  <c r="X54" i="41"/>
  <c r="BB68" i="41" l="1"/>
  <c r="AW68" i="41"/>
  <c r="X68" i="41"/>
  <c r="BB60" i="41"/>
  <c r="AW60" i="41"/>
  <c r="X60" i="41"/>
  <c r="BB59" i="41"/>
  <c r="AW59" i="41"/>
  <c r="X59" i="41"/>
  <c r="A22" i="24" l="1"/>
  <c r="H45" i="24"/>
  <c r="I38" i="24" s="1"/>
  <c r="A45" i="24"/>
  <c r="A34" i="24" l="1"/>
  <c r="M25" i="41" l="1"/>
  <c r="BD25" i="41" s="1"/>
  <c r="BB25" i="41"/>
  <c r="AW25" i="41"/>
  <c r="X25" i="41"/>
  <c r="BF25" i="41" l="1"/>
  <c r="BE25" i="41"/>
  <c r="AW31" i="41"/>
  <c r="X31" i="41"/>
  <c r="AW10" i="41" l="1"/>
  <c r="X10" i="41"/>
  <c r="AW69" i="41"/>
  <c r="X69" i="41"/>
  <c r="AW30" i="41" l="1"/>
  <c r="X30" i="41"/>
  <c r="AW29" i="41"/>
  <c r="X29" i="41"/>
  <c r="AW28" i="41"/>
  <c r="X28" i="41"/>
  <c r="BB27" i="41"/>
  <c r="AW27" i="41"/>
  <c r="X27" i="41"/>
  <c r="BB22" i="41" l="1"/>
  <c r="AW22" i="41"/>
  <c r="X22" i="41"/>
  <c r="BB17" i="41"/>
  <c r="AW17" i="41"/>
  <c r="X17" i="41"/>
  <c r="BD20" i="41" l="1"/>
  <c r="BF20" i="41" l="1"/>
  <c r="BE20" i="41"/>
  <c r="BB18" i="41"/>
  <c r="AW18" i="41"/>
  <c r="X18" i="41"/>
  <c r="BB15" i="41"/>
  <c r="AW15" i="41"/>
  <c r="X15" i="41"/>
  <c r="BB13" i="41"/>
  <c r="AW13" i="41"/>
  <c r="X13" i="41"/>
  <c r="BB26" i="41"/>
  <c r="AW26" i="41"/>
  <c r="X26" i="41"/>
  <c r="BB19" i="41"/>
  <c r="AW19" i="41"/>
  <c r="X19" i="41"/>
  <c r="BB14" i="41"/>
  <c r="AW14" i="41"/>
  <c r="X14" i="41"/>
  <c r="BB11" i="41"/>
  <c r="AW11" i="41"/>
  <c r="X11" i="41"/>
  <c r="BB24" i="41"/>
  <c r="AW24" i="41"/>
  <c r="X24" i="41"/>
  <c r="BB16" i="41"/>
  <c r="AW16" i="41"/>
  <c r="X16" i="41"/>
  <c r="AW12" i="41"/>
  <c r="X12" i="41"/>
  <c r="AW9" i="41"/>
  <c r="X9" i="41"/>
  <c r="BB8" i="41"/>
  <c r="AW8" i="41"/>
  <c r="X8" i="41"/>
  <c r="M8" i="41"/>
  <c r="BD8" i="41" s="1"/>
  <c r="BB21" i="41"/>
  <c r="AW21" i="41"/>
  <c r="X21" i="41"/>
  <c r="BB20" i="41"/>
  <c r="AW20" i="41"/>
  <c r="BB23" i="41"/>
  <c r="AW23" i="41"/>
  <c r="X23" i="41"/>
  <c r="BG20" i="41" l="1"/>
  <c r="BE8" i="41"/>
  <c r="BF8" i="41"/>
  <c r="BG8" i="41" l="1"/>
  <c r="A10" i="24" l="1"/>
  <c r="I4" i="24" s="1"/>
  <c r="H10" i="24"/>
  <c r="H34" i="24" l="1"/>
  <c r="I27" i="24" s="1"/>
  <c r="H19" i="24"/>
  <c r="H18" i="24" l="1"/>
  <c r="H22" i="24" s="1"/>
  <c r="I15" i="24" s="1"/>
</calcChain>
</file>

<file path=xl/sharedStrings.xml><?xml version="1.0" encoding="utf-8"?>
<sst xmlns="http://schemas.openxmlformats.org/spreadsheetml/2006/main" count="3189" uniqueCount="561">
  <si>
    <t xml:space="preserve">Mes </t>
  </si>
  <si>
    <t>Proveedor</t>
  </si>
  <si>
    <t># Factura flete Internacional</t>
  </si>
  <si>
    <t>Costo Fete USD</t>
  </si>
  <si>
    <t>Fecha de Registro Cta Gastos</t>
  </si>
  <si>
    <t>Proveedor Flete</t>
  </si>
  <si>
    <t>Patente</t>
  </si>
  <si>
    <t># Pedimento</t>
  </si>
  <si>
    <t>Fecha de pago</t>
  </si>
  <si>
    <t>Valor Comercial</t>
  </si>
  <si>
    <t>R1</t>
  </si>
  <si>
    <t>Nombre AA</t>
  </si>
  <si>
    <t>Cuenta de Gastos AA</t>
  </si>
  <si>
    <t>Otros Flete USD</t>
  </si>
  <si>
    <t>Total Flete USD</t>
  </si>
  <si>
    <t># Factura Cta Gastos</t>
  </si>
  <si>
    <t>Total MXN</t>
  </si>
  <si>
    <t>KPI</t>
  </si>
  <si>
    <t>Flete Internacional MXN</t>
  </si>
  <si>
    <t>% Flete</t>
  </si>
  <si>
    <t>INGRESO CTA GASTOS A SAP</t>
  </si>
  <si>
    <t>REFERENCIA SAP</t>
  </si>
  <si>
    <t>OPERACIÓN</t>
  </si>
  <si>
    <t>Total Fletes MXN</t>
  </si>
  <si>
    <t>SAMSUNG</t>
  </si>
  <si>
    <t>PEDIMENTO</t>
  </si>
  <si>
    <t>MUESTRA</t>
  </si>
  <si>
    <t>MEROMA</t>
  </si>
  <si>
    <t>MXN</t>
  </si>
  <si>
    <t>COMENTARIOS</t>
  </si>
  <si>
    <t>TRANSPRO</t>
  </si>
  <si>
    <t>TC:</t>
  </si>
  <si>
    <t>ETIQUETADO</t>
  </si>
  <si>
    <t>Factura</t>
  </si>
  <si>
    <t>PREPAGADO</t>
  </si>
  <si>
    <t>Número de Factura</t>
  </si>
  <si>
    <t>Valor Factura</t>
  </si>
  <si>
    <t>Moneda</t>
  </si>
  <si>
    <t>ADUANA</t>
  </si>
  <si>
    <t>Orden de Compra</t>
  </si>
  <si>
    <t>ETA PLANTA</t>
  </si>
  <si>
    <t>Referencia Forwarder</t>
  </si>
  <si>
    <t>STATUS</t>
  </si>
  <si>
    <t>FLETE INTERNACIONAL</t>
  </si>
  <si>
    <t>Días</t>
  </si>
  <si>
    <t>Motivo</t>
  </si>
  <si>
    <t>NOTAS IMPORTANTES</t>
  </si>
  <si>
    <t>Tipo de Material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</si>
  <si>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</si>
  <si>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</si>
  <si>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</si>
  <si>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</si>
  <si>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</si>
  <si>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</si>
  <si>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</si>
  <si>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</si>
  <si>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</si>
  <si>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</si>
  <si>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</si>
  <si>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</si>
  <si>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MP</t>
  </si>
  <si>
    <t>CF</t>
  </si>
  <si>
    <t>CABELLO</t>
  </si>
  <si>
    <t>Maquinaria</t>
  </si>
  <si>
    <t>Refacciones</t>
  </si>
  <si>
    <t>Veracruz</t>
  </si>
  <si>
    <t>Manzanillo</t>
  </si>
  <si>
    <t>AICM</t>
  </si>
  <si>
    <t>AIFA</t>
  </si>
  <si>
    <t>Toluca</t>
  </si>
  <si>
    <t>Laredo</t>
  </si>
  <si>
    <t>USD</t>
  </si>
  <si>
    <t>EUR</t>
  </si>
  <si>
    <t>*ENTREGADO</t>
  </si>
  <si>
    <t>*EN DESCONSOLIDACION</t>
  </si>
  <si>
    <t>*EN TRANSITO A AEROPUERTO</t>
  </si>
  <si>
    <t>*EN TRANSITO  A PUERTO</t>
  </si>
  <si>
    <t>*LIBERADO DE ADUANA</t>
  </si>
  <si>
    <t>*EN DETENCION EN ADUANA</t>
  </si>
  <si>
    <t>*EN LIBERACION</t>
  </si>
  <si>
    <t>*EN ETIQUETADO</t>
  </si>
  <si>
    <t>*EN REVALIDACION</t>
  </si>
  <si>
    <t>*EN MANIOBRAS DE DESCARGA</t>
  </si>
  <si>
    <t>*EN ADUANA</t>
  </si>
  <si>
    <t>*EN TRANSITO A FONTERA</t>
  </si>
  <si>
    <t>*EN ORIGEN</t>
  </si>
  <si>
    <t>*RECOLECTADO</t>
  </si>
  <si>
    <t>*POR RECOLECTAR</t>
  </si>
  <si>
    <t>DCS</t>
  </si>
  <si>
    <t>Proveedor Flete Internacional</t>
  </si>
  <si>
    <t>SAMSUNG-KROM</t>
  </si>
  <si>
    <t>AA América</t>
  </si>
  <si>
    <t>Proveedor Custodia</t>
  </si>
  <si>
    <t>C A I S</t>
  </si>
  <si>
    <t>Accel</t>
  </si>
  <si>
    <t>HUC</t>
  </si>
  <si>
    <t>ACCEL</t>
  </si>
  <si>
    <t>PF</t>
  </si>
  <si>
    <t>PENDIENTE</t>
  </si>
  <si>
    <t>TBC</t>
  </si>
  <si>
    <t>PUERTO / ADUANA</t>
  </si>
  <si>
    <t>PROVEEDOR</t>
  </si>
  <si>
    <t>No. FACTURA</t>
  </si>
  <si>
    <t>N/A</t>
  </si>
  <si>
    <t>SAP AA</t>
  </si>
  <si>
    <t>SAP FTE</t>
  </si>
  <si>
    <t>SAP ETIQUET</t>
  </si>
  <si>
    <t>SAP CUST</t>
  </si>
  <si>
    <t>ORIGEN</t>
  </si>
  <si>
    <t>USA</t>
  </si>
  <si>
    <t>FLETE NACIONAL</t>
  </si>
  <si>
    <t>CUSTODIA</t>
  </si>
  <si>
    <t>FACTURA</t>
  </si>
  <si>
    <t>MONTO</t>
  </si>
  <si>
    <t>CHINA</t>
  </si>
  <si>
    <t>Bergamo, ITALIA</t>
  </si>
  <si>
    <t>ITALIA</t>
  </si>
  <si>
    <t>*EN RUTA DE ENTREGA A DOBOS</t>
  </si>
  <si>
    <t>CAIS</t>
  </si>
  <si>
    <t>TOLUCA</t>
  </si>
  <si>
    <t>VENEZUELA</t>
  </si>
  <si>
    <t>1X40</t>
  </si>
  <si>
    <t>1 BOX</t>
  </si>
  <si>
    <t>1 PALLET LCL</t>
  </si>
  <si>
    <t>1X20</t>
  </si>
  <si>
    <t>OLIO VASELINA_MP000347</t>
  </si>
  <si>
    <t>BRASIL</t>
  </si>
  <si>
    <t>LAREDO</t>
  </si>
  <si>
    <t>INCLUIDO EN LA C.G</t>
  </si>
  <si>
    <t>FECHA</t>
  </si>
  <si>
    <t>DELLY KOSMETIC</t>
  </si>
  <si>
    <t>PERMISO SENER:</t>
  </si>
  <si>
    <t>1702C124000676</t>
  </si>
  <si>
    <t>1702C124001134</t>
  </si>
  <si>
    <t>MP001322_ISOFOL</t>
  </si>
  <si>
    <t>MP000347_OLIO VASELINA</t>
  </si>
  <si>
    <t>B&amp;B</t>
  </si>
  <si>
    <t>Total G</t>
  </si>
  <si>
    <t>PERU</t>
  </si>
  <si>
    <t>V6-375</t>
  </si>
  <si>
    <t>2 BOX</t>
  </si>
  <si>
    <t>TOTAL</t>
  </si>
  <si>
    <t>1x40</t>
  </si>
  <si>
    <t>DEMORAS Y ALMACENJES, OTROS</t>
  </si>
  <si>
    <t>SAVINO</t>
  </si>
  <si>
    <t>SAMSUNG SDS</t>
  </si>
  <si>
    <t>DEL CORONA</t>
  </si>
  <si>
    <t>1702C124001588</t>
  </si>
  <si>
    <t>MP000070 LOROL, SABONAL, LANETTE</t>
  </si>
  <si>
    <t>PANZERI</t>
  </si>
  <si>
    <t>MP000070 LOROL, SABONAL, LANETTE, CESTOPAL C 14</t>
  </si>
  <si>
    <t>FRACCION:</t>
  </si>
  <si>
    <t>29051999 99</t>
  </si>
  <si>
    <t>27101999 07</t>
  </si>
  <si>
    <t xml:space="preserve">AGILEX#02 </t>
  </si>
  <si>
    <t>NY, USA</t>
  </si>
  <si>
    <t>n/a</t>
  </si>
  <si>
    <t>N/D</t>
  </si>
  <si>
    <t>IMPACTA#01</t>
  </si>
  <si>
    <t>BBCARGO</t>
  </si>
  <si>
    <t>6260, 6273</t>
  </si>
  <si>
    <t>4700064006, 4700064007</t>
  </si>
  <si>
    <t xml:space="preserve">LOWENSTEIN#04 </t>
  </si>
  <si>
    <t>BRENNTAG#07</t>
  </si>
  <si>
    <t xml:space="preserve">TPS RENTAL#01 </t>
  </si>
  <si>
    <t>11 PALLETS</t>
  </si>
  <si>
    <t>Hexham, UK</t>
  </si>
  <si>
    <t>ENVASES_LIMA#24-R</t>
  </si>
  <si>
    <t>4 PALLET LCL</t>
  </si>
  <si>
    <t>1x20</t>
  </si>
  <si>
    <t>ETD ORIGEN</t>
  </si>
  <si>
    <t>ETA PUERTO, AERO, FRONTERA</t>
  </si>
  <si>
    <t xml:space="preserve">LEHEVOSS#03 </t>
  </si>
  <si>
    <t>MB, ITALIA</t>
  </si>
  <si>
    <t xml:space="preserve">PANZERI#06  </t>
  </si>
  <si>
    <t>4700062922 &amp; 4700064452</t>
  </si>
  <si>
    <t xml:space="preserve">ZSCHIMMER#01 </t>
  </si>
  <si>
    <t>13 pallets</t>
  </si>
  <si>
    <t>4700063256,4700064911, PO4700064912</t>
  </si>
  <si>
    <t>VC, ITALIA</t>
  </si>
  <si>
    <t>BG, ITALIA</t>
  </si>
  <si>
    <t xml:space="preserve">B&amp;BMP#16 </t>
  </si>
  <si>
    <t>ARTEC#09 SEA</t>
  </si>
  <si>
    <t>AMIK#03</t>
  </si>
  <si>
    <t>4700064884, 4700064782, 4700063835, 4700063899</t>
  </si>
  <si>
    <t>E24-000249</t>
  </si>
  <si>
    <t>B&amp;BPF#26</t>
  </si>
  <si>
    <t>B&amp;BPF#27</t>
  </si>
  <si>
    <t>4700064828, 4700065429 4700064829</t>
  </si>
  <si>
    <t>XY-239369370 &amp; XY-239502503</t>
  </si>
  <si>
    <t>6 PALLETS</t>
  </si>
  <si>
    <t xml:space="preserve">ERCA#12 </t>
  </si>
  <si>
    <t>OTIF</t>
  </si>
  <si>
    <t>SAVIRAM#17</t>
  </si>
  <si>
    <t>SAVIRAM#18</t>
  </si>
  <si>
    <t>4700064803 + 4700064184</t>
  </si>
  <si>
    <t>COMETECH#08</t>
  </si>
  <si>
    <t>SAVIRAM#19</t>
  </si>
  <si>
    <t>4700062433, 4700061618, 4700062436, 4700061622</t>
  </si>
  <si>
    <t>SLMX24IO000AC402, RKU24-23063</t>
  </si>
  <si>
    <t>DMX0433424, SLMX24IO000AC403, RKU24-23064</t>
  </si>
  <si>
    <t>SLMX24IO000AC406, RKU24-23298</t>
  </si>
  <si>
    <t xml:space="preserve">TELUCA#06 </t>
  </si>
  <si>
    <t>0000354T24</t>
  </si>
  <si>
    <t>SLMX24IO000AC400, RKU24-23061</t>
  </si>
  <si>
    <t>A44692</t>
  </si>
  <si>
    <t>LIMA, PERU</t>
  </si>
  <si>
    <t xml:space="preserve">BIOHENSE#02 </t>
  </si>
  <si>
    <t>V6/1519</t>
  </si>
  <si>
    <t>Sesto Ulteriano - ITALIA</t>
  </si>
  <si>
    <t>SLMX24IO000AC410, RKU24-23594</t>
  </si>
  <si>
    <t xml:space="preserve">JIAGSU001 </t>
  </si>
  <si>
    <t>4700064830, 4700063215</t>
  </si>
  <si>
    <t>XY-239369370 &amp; XY-239502505</t>
  </si>
  <si>
    <t>GIVAUDAN#03</t>
  </si>
  <si>
    <t>COLG11240072 SLMX24IO000AC413 RKU24-23596</t>
  </si>
  <si>
    <t>DMX0441724 SLMX24IO000AC415  RKU24-24543</t>
  </si>
  <si>
    <t>V2-721</t>
  </si>
  <si>
    <t>F24-55</t>
  </si>
  <si>
    <t>LUGO (RA), ITALIA</t>
  </si>
  <si>
    <t>F001-00004850</t>
  </si>
  <si>
    <t>10041861, 10041862</t>
  </si>
  <si>
    <t>V6/863</t>
  </si>
  <si>
    <t>MP000070 CESTOPAL C 14 (TETRADECANOL)</t>
  </si>
  <si>
    <t>V6-1519</t>
  </si>
  <si>
    <t>Total litros importados</t>
  </si>
  <si>
    <t>CANTIDAD AUTORIZADA- LITROS:</t>
  </si>
  <si>
    <t>CANTIDAD AUTORIZADA - KILOGRAMOS:</t>
  </si>
  <si>
    <t>1702C124001527</t>
  </si>
  <si>
    <t>PAÍSES AUTORIZADOS:</t>
  </si>
  <si>
    <t>Alemania, Francia, Bélgica, España y Paises Bajos</t>
  </si>
  <si>
    <t>Total KG importados</t>
  </si>
  <si>
    <t>SLMX24IO000AC412 RKU24-23595</t>
  </si>
  <si>
    <t>SLMX24IO000AC426 RKU24-23597</t>
  </si>
  <si>
    <t>SLMX24IO000MO349  RKU24-20679</t>
  </si>
  <si>
    <t xml:space="preserve">SAVIRAM002 </t>
  </si>
  <si>
    <t>SLMX24IO000AC417 RKU24-24544</t>
  </si>
  <si>
    <t>SAVIRAM003</t>
  </si>
  <si>
    <t>SLMX24IO000AC419 RKU24-24545</t>
  </si>
  <si>
    <t>SAVIRAM004</t>
  </si>
  <si>
    <t>SLMX24IO000AC418 RKU24-24546</t>
  </si>
  <si>
    <t>RIMC-2024-004123-I / SAP24-17896</t>
  </si>
  <si>
    <t xml:space="preserve">LE00SH241200369H / SAP24-17221 / SLMX24IO000AC401 </t>
  </si>
  <si>
    <t>OP00038955  / SAP24-17894 // RE: SLMX24IO000AC425</t>
  </si>
  <si>
    <t>COT 26220 // S0014501  / SLMX24IO000AC422 RKU24-24565</t>
  </si>
  <si>
    <t>COLG112400121  /  SLMX24IO000AC421 RKU24-24566</t>
  </si>
  <si>
    <t>SLMX24IO000AC423 RKU24-24567</t>
  </si>
  <si>
    <t>DMX0471924 / SLMX24IO000AC424 RKU24-24568</t>
  </si>
  <si>
    <t>INTERCOM</t>
  </si>
  <si>
    <t>PLASTUBE001</t>
  </si>
  <si>
    <t>Quebec, CAN</t>
  </si>
  <si>
    <t>XPD</t>
  </si>
  <si>
    <t>3501217245</t>
  </si>
  <si>
    <t>INV63415</t>
  </si>
  <si>
    <t xml:space="preserve">DRAGONG1001 </t>
  </si>
  <si>
    <t>4700064811 &amp; 4700064810</t>
  </si>
  <si>
    <t>2025-22001</t>
  </si>
  <si>
    <t>SLMX24IO000AC397 / RKU24-23060</t>
  </si>
  <si>
    <t>ATINA001</t>
  </si>
  <si>
    <t>: SLMX25IO000AC429 // DAI25-00015</t>
  </si>
  <si>
    <t xml:space="preserve">743975818318 </t>
  </si>
  <si>
    <t>Chairlift01</t>
  </si>
  <si>
    <t xml:space="preserve">R+Co 743975818318 </t>
  </si>
  <si>
    <t>VALOR FACTURA PESOS</t>
  </si>
  <si>
    <t>IVA</t>
  </si>
  <si>
    <t>IGI + DTA</t>
  </si>
  <si>
    <t>TOTAL IMPUETSPS</t>
  </si>
  <si>
    <t>TCA</t>
  </si>
  <si>
    <t>JIANGSU#09</t>
  </si>
  <si>
    <t>ERCA001</t>
  </si>
  <si>
    <t>COLG12240028 / SLMX25IO000AC432</t>
  </si>
  <si>
    <t xml:space="preserve">EGLV142404094859  / SLMX25IO000AC430 </t>
  </si>
  <si>
    <t>SAP24-17617 // SLMX24IO000AC416</t>
  </si>
  <si>
    <t xml:space="preserve">ONYXX001 / AVEDA001 </t>
  </si>
  <si>
    <t xml:space="preserve">SLMX25IO000AC431 SDS250000045, BK 6407371600  </t>
  </si>
  <si>
    <t>3 PALLETS</t>
  </si>
  <si>
    <t>B&amp;BPF001</t>
  </si>
  <si>
    <t>LIMA004</t>
  </si>
  <si>
    <t>LIMA001</t>
  </si>
  <si>
    <t>LIMA002</t>
  </si>
  <si>
    <t>LIMA003</t>
  </si>
  <si>
    <t>LIMA005</t>
  </si>
  <si>
    <t>LIMA006</t>
  </si>
  <si>
    <t>LIMA007</t>
  </si>
  <si>
    <t>LIMA008</t>
  </si>
  <si>
    <t>LIMA009</t>
  </si>
  <si>
    <t>LIMA010</t>
  </si>
  <si>
    <t>INCOTERM</t>
  </si>
  <si>
    <t>FOB</t>
  </si>
  <si>
    <t>ETA ADUANA</t>
  </si>
  <si>
    <t>ITEM</t>
  </si>
  <si>
    <t>CIF</t>
  </si>
  <si>
    <t>EXW</t>
  </si>
  <si>
    <t>DAP</t>
  </si>
  <si>
    <t>CIP</t>
  </si>
  <si>
    <t>KROMACARE001</t>
  </si>
  <si>
    <t>GERENZANO (VA), ITALIA</t>
  </si>
  <si>
    <t>F-01</t>
  </si>
  <si>
    <t>BRENNTAG001</t>
  </si>
  <si>
    <t>4700066045 &amp; 4700065397</t>
  </si>
  <si>
    <t xml:space="preserve"> VALOR FACTURA </t>
  </si>
  <si>
    <t xml:space="preserve">INNOSPEC001 </t>
  </si>
  <si>
    <t>LEHVOSS001</t>
  </si>
  <si>
    <t>PEROXITALIA001</t>
  </si>
  <si>
    <t>4700065067, 4700065069, 4700065071</t>
  </si>
  <si>
    <t>LOWENSTEIN001</t>
  </si>
  <si>
    <t>GIVAUDAN001</t>
  </si>
  <si>
    <t>MONEDA</t>
  </si>
  <si>
    <t>Referencia DOBOS</t>
  </si>
  <si>
    <t>n/d</t>
  </si>
  <si>
    <t>F001-00004893</t>
  </si>
  <si>
    <t>B&amp;BMP001</t>
  </si>
  <si>
    <t>10046275 10046276</t>
  </si>
  <si>
    <t>MEX-10127457</t>
  </si>
  <si>
    <t>FFAC0000011174</t>
  </si>
  <si>
    <t>FB0000036312</t>
  </si>
  <si>
    <t>FB0000036313</t>
  </si>
  <si>
    <t>39677 Serie M</t>
  </si>
  <si>
    <t>CPICPI0000001693</t>
  </si>
  <si>
    <t>F011656</t>
  </si>
  <si>
    <t>VENCE: 22-03-2025</t>
  </si>
  <si>
    <t>VENCE: 16-02-25</t>
  </si>
  <si>
    <t>VENCE: 24-04-25</t>
  </si>
  <si>
    <t>VENCE: 19-04-25</t>
  </si>
  <si>
    <t>Disponibles</t>
  </si>
  <si>
    <t>B&amp;BPF002</t>
  </si>
  <si>
    <t>MILA57143 SLMX25IO000AC437 RKU25-01059</t>
  </si>
  <si>
    <t>SLMX25IO000AC433 RKU25-01409</t>
  </si>
  <si>
    <t xml:space="preserve">V2-40 </t>
  </si>
  <si>
    <t xml:space="preserve">DMX0036725 </t>
  </si>
  <si>
    <t>BERRY001</t>
  </si>
  <si>
    <t>Stiviere (MN), ITA</t>
  </si>
  <si>
    <t>SAN GIOVANNI- ITA</t>
  </si>
  <si>
    <t>4 PALLET</t>
  </si>
  <si>
    <t>F-000190</t>
  </si>
  <si>
    <t xml:space="preserve">DMX0032725 </t>
  </si>
  <si>
    <t>MADERNO MB ITALY</t>
  </si>
  <si>
    <t>10 PALLETS</t>
  </si>
  <si>
    <t>BERLINFX001</t>
  </si>
  <si>
    <t>Proveedor no tiene lista la mercancia</t>
  </si>
  <si>
    <t>SDSNA25007559355</t>
  </si>
  <si>
    <t>FFAC0000011414</t>
  </si>
  <si>
    <t>MEX-10128396</t>
  </si>
  <si>
    <t>FAC - 37841</t>
  </si>
  <si>
    <t>INCLUIDA EN FLTE INTER</t>
  </si>
  <si>
    <t>MEX-10127759</t>
  </si>
  <si>
    <t>MEX-10127760</t>
  </si>
  <si>
    <t xml:space="preserve">B&amp;BFX001 </t>
  </si>
  <si>
    <t>771338962441</t>
  </si>
  <si>
    <t>39800 Serie M</t>
  </si>
  <si>
    <t>B&amp;BCAB001</t>
  </si>
  <si>
    <t>771414353034</t>
  </si>
  <si>
    <t>39844 Serie M</t>
  </si>
  <si>
    <t>FFAC0000011558</t>
  </si>
  <si>
    <t>14/01/2025, 28/01/2025</t>
  </si>
  <si>
    <t>MOVIEMNTO EN FALSO POR QUE UNIDAD NO FUE LIEBRADA POR SATURACION</t>
  </si>
  <si>
    <t>IM167247</t>
  </si>
  <si>
    <t>DRAGONG1002</t>
  </si>
  <si>
    <t>2025-22035</t>
  </si>
  <si>
    <t>4700065457 &amp; 4700064191</t>
  </si>
  <si>
    <t>13.349,10</t>
  </si>
  <si>
    <t>SDS250000228  6408774510</t>
  </si>
  <si>
    <t xml:space="preserve">SLMX25IO000AC436 SDS250000141 6408690820 </t>
  </si>
  <si>
    <t>Dangerous Goods</t>
  </si>
  <si>
    <t>UN3077, UN2512, UN2811</t>
  </si>
  <si>
    <t>NO</t>
  </si>
  <si>
    <t>UN3077, UN2811, UN2876,UN3143, UN2512</t>
  </si>
  <si>
    <t>UN3082 CLASS 9</t>
  </si>
  <si>
    <t>UN3077 CLASE 9</t>
  </si>
  <si>
    <t>UN:1673 CLASS:6.1, UN:3077 CLASS:9,UN:2811 CLASS:6.1,UN:2512 CLASS:6.1,UN:3077 CLASS:9</t>
  </si>
  <si>
    <t>UN2811 CLASS: 6.1</t>
  </si>
  <si>
    <t>UN 3082 IMO CLASS 9, UN 2811 IMO CLASS 6.1</t>
  </si>
  <si>
    <t>UN 2811 IMO CLASS 6.1</t>
  </si>
  <si>
    <t>UN 3082 IMO CLASS 9</t>
  </si>
  <si>
    <t>UN3082 CLASS 9,UN 3077 CLASS 9</t>
  </si>
  <si>
    <t>COMETECH001</t>
  </si>
  <si>
    <t>ISRAEL</t>
  </si>
  <si>
    <t>CFR</t>
  </si>
  <si>
    <t>7716 9219 9660</t>
  </si>
  <si>
    <t xml:space="preserve">DELLYFX001 </t>
  </si>
  <si>
    <t xml:space="preserve">SUMMITOMO001 </t>
  </si>
  <si>
    <t>771660239385</t>
  </si>
  <si>
    <t>A24953</t>
  </si>
  <si>
    <t>IM167402</t>
  </si>
  <si>
    <t>|</t>
  </si>
  <si>
    <t>28778</t>
  </si>
  <si>
    <t>F011657</t>
  </si>
  <si>
    <t>n</t>
  </si>
  <si>
    <t>TRANS-PRO</t>
  </si>
  <si>
    <t>Nueva ETA del 20 al 23-FEB</t>
  </si>
  <si>
    <t>Cambio de ETA del 13 al 21-FEB</t>
  </si>
  <si>
    <t>B&amp;BPF003</t>
  </si>
  <si>
    <t>PO:</t>
  </si>
  <si>
    <t>PANZERI001</t>
  </si>
  <si>
    <t>2024DOB015-16</t>
  </si>
  <si>
    <t>B&amp;BPF004</t>
  </si>
  <si>
    <t>LIMA011</t>
  </si>
  <si>
    <t>LIMA012</t>
  </si>
  <si>
    <t>LIMA013</t>
  </si>
  <si>
    <t>LIMA014</t>
  </si>
  <si>
    <t>SEMANA 11 DESPACHAR: 12-mar.</t>
  </si>
  <si>
    <t>SEMANA 12 DESPACHAR: 19-mar.</t>
  </si>
  <si>
    <t>SEMANA 14 DESPACHAR: 31-mar.</t>
  </si>
  <si>
    <t>SEMANA 15 DESPACHAR:  9-abr.</t>
  </si>
  <si>
    <t>SEMANA 16 DESPACHAR: 16-abr.</t>
  </si>
  <si>
    <t>SEMANA 17 DESPACHAR: 23-abr.</t>
  </si>
  <si>
    <t>JIAGSU002</t>
  </si>
  <si>
    <t>4700066132, 4700066133, 4700066130, 4700066134, 4700066187</t>
  </si>
  <si>
    <t>XY-025015016</t>
  </si>
  <si>
    <t>RKU25-01905 SLMX25IO000AC439</t>
  </si>
  <si>
    <t>B&amp;BMP002</t>
  </si>
  <si>
    <t>10003993 &amp; 10003997</t>
  </si>
  <si>
    <t>DMX0027925 SLMX25IO000AC438 RKU25-02118</t>
  </si>
  <si>
    <t>XPDGLOBAL</t>
  </si>
  <si>
    <t xml:space="preserve">COT25/02-08 </t>
  </si>
  <si>
    <t xml:space="preserve">ELEMENT001 </t>
  </si>
  <si>
    <t>COLOMBIA</t>
  </si>
  <si>
    <t>SDBC3SP057432 COLG092400098</t>
  </si>
  <si>
    <t xml:space="preserve">NITTLE001 </t>
  </si>
  <si>
    <t>Halle ALEMANIA</t>
  </si>
  <si>
    <t xml:space="preserve">771551299589 </t>
  </si>
  <si>
    <t>BER01</t>
  </si>
  <si>
    <t>DELLYFX002</t>
  </si>
  <si>
    <t>771752027450</t>
  </si>
  <si>
    <t>En recuperacion de guia</t>
  </si>
  <si>
    <t xml:space="preserve">PLASTUBEFX001 </t>
  </si>
  <si>
    <t>771791619710</t>
  </si>
  <si>
    <t>F771791619710</t>
  </si>
  <si>
    <t xml:space="preserve">B&amp;BFX002 </t>
  </si>
  <si>
    <t>771601654700</t>
  </si>
  <si>
    <t>F001-00004949</t>
  </si>
  <si>
    <t>F001-00004950</t>
  </si>
  <si>
    <t>Por confirmar plazos</t>
  </si>
  <si>
    <t>KROMACARE002</t>
  </si>
  <si>
    <t xml:space="preserve">B&amp;BCAB002 </t>
  </si>
  <si>
    <t>771909099400</t>
  </si>
  <si>
    <t xml:space="preserve">SAP25-1953 SLMX25IO000AC437 </t>
  </si>
  <si>
    <t>UN2512, UN2876, UN2811, UN1673</t>
  </si>
  <si>
    <t>CPICPI0000001798</t>
  </si>
  <si>
    <t>En correccion de COO</t>
  </si>
  <si>
    <t>F001-00004975</t>
  </si>
  <si>
    <t xml:space="preserve">DELLY001 </t>
  </si>
  <si>
    <t xml:space="preserve">SLMX25IO000AC440 </t>
  </si>
  <si>
    <t>Por confirmar el arribo</t>
  </si>
  <si>
    <t xml:space="preserve">SDS250000333 // BK 6409948800  </t>
  </si>
  <si>
    <t xml:space="preserve">SDS250000334 // BK 6409948860 </t>
  </si>
  <si>
    <t>F001-00004997, F001-00004998</t>
  </si>
  <si>
    <t>OH, USA</t>
  </si>
  <si>
    <t>NJ, USA</t>
  </si>
  <si>
    <t>UN2811</t>
  </si>
  <si>
    <t xml:space="preserve">Pendiente factura </t>
  </si>
  <si>
    <t xml:space="preserve">SLMX25IO000AC438 RKU25-01886 </t>
  </si>
  <si>
    <t xml:space="preserve">COLG01250008  SLMX25IO000AC437 </t>
  </si>
  <si>
    <t>Cambio de ETA del 23-FEB al 6-MAR</t>
  </si>
  <si>
    <t>Cambio de ETA del 25-FEB al 6-MAR</t>
  </si>
  <si>
    <t>Pendiente BL</t>
  </si>
  <si>
    <t>COLG01250034 SLMX25IO000AC443 RKU25-02664</t>
  </si>
  <si>
    <t>Pendiente arribo del buque en origen</t>
  </si>
  <si>
    <t>Pendiente aceptacion de carga IMO por la Naviera</t>
  </si>
  <si>
    <t>ERCA002</t>
  </si>
  <si>
    <t>DMX0052125</t>
  </si>
  <si>
    <t>V2-90</t>
  </si>
  <si>
    <t>PEROXITALIA002</t>
  </si>
  <si>
    <t>4700066465 4700066538</t>
  </si>
  <si>
    <t>DMX0069225</t>
  </si>
  <si>
    <t xml:space="preserve">COLG02250030 </t>
  </si>
  <si>
    <t>BER02</t>
  </si>
  <si>
    <t>771551468655</t>
  </si>
  <si>
    <t>B&amp;BFX004</t>
  </si>
  <si>
    <t>771977429762</t>
  </si>
  <si>
    <t>B&amp;BFX005</t>
  </si>
  <si>
    <t>772117333577</t>
  </si>
  <si>
    <t xml:space="preserve">CAPUANI001 </t>
  </si>
  <si>
    <t>771856258795</t>
  </si>
  <si>
    <t>002-25</t>
  </si>
  <si>
    <t>TELUCA001</t>
  </si>
  <si>
    <t>Disponible semana 09</t>
  </si>
  <si>
    <t>GIVAUDAN002</t>
  </si>
  <si>
    <t>Disponible semana 08</t>
  </si>
  <si>
    <t>Por confirmar fecha de disponibilidad</t>
  </si>
  <si>
    <t xml:space="preserve">TRICOBIOTOS001 </t>
  </si>
  <si>
    <t>772141572427</t>
  </si>
  <si>
    <t>F-0000053P</t>
  </si>
  <si>
    <t>10 de febrero de 2025</t>
  </si>
  <si>
    <t>13 de febrero de 2025</t>
  </si>
  <si>
    <t>14 de febrero de 2025</t>
  </si>
  <si>
    <t>24 de febrero de 2025</t>
  </si>
  <si>
    <t>25 de febrero de 2025</t>
  </si>
  <si>
    <t>Pendiente envio de factura correcta</t>
  </si>
  <si>
    <t>En proceso de liberacion</t>
  </si>
  <si>
    <t>PU 27-FEB</t>
  </si>
  <si>
    <t>2 de febrero de 2025</t>
  </si>
  <si>
    <t>16 de febrero de 2025</t>
  </si>
  <si>
    <t>27 de febrero de 2025</t>
  </si>
  <si>
    <t>29 de enero de 2025</t>
  </si>
  <si>
    <t>18 de febrero de 2025</t>
  </si>
  <si>
    <t xml:space="preserve"> $-   </t>
  </si>
  <si>
    <t>23 de febrero de 2025</t>
  </si>
  <si>
    <t>6 de marzo de 2025</t>
  </si>
  <si>
    <t>4 de febrero de 2025</t>
  </si>
  <si>
    <t>6 de febrero de 2025</t>
  </si>
  <si>
    <t>19 de febrero de 2025</t>
  </si>
  <si>
    <t>20 de diciembre de 2024</t>
  </si>
  <si>
    <t>3 de febrero de 2025</t>
  </si>
  <si>
    <t>15 de enero de 2025</t>
  </si>
  <si>
    <t>25 de enero de 2025</t>
  </si>
  <si>
    <t>17 de febrero de 2025</t>
  </si>
  <si>
    <t>3 de enero de 2025</t>
  </si>
  <si>
    <t>21 de febrero de 2025</t>
  </si>
  <si>
    <t>22 de enero de 2025</t>
  </si>
  <si>
    <t>23 de enero de 2025</t>
  </si>
  <si>
    <t>1 de febrero de 2025</t>
  </si>
  <si>
    <t>8 de febrero de 2025</t>
  </si>
  <si>
    <t>5 de febrero de 2025</t>
  </si>
  <si>
    <t>12 de febrero de 2025</t>
  </si>
  <si>
    <t>11 de marzo de 2025</t>
  </si>
  <si>
    <t>13 de marzo de 2025</t>
  </si>
  <si>
    <t>22 de febrero de 2025</t>
  </si>
  <si>
    <t>16 de marzo de 2025</t>
  </si>
  <si>
    <t>26 de febrero de 2025</t>
  </si>
  <si>
    <t>17 de marzo de 2025</t>
  </si>
  <si>
    <t>5 de marzo de 2025</t>
  </si>
  <si>
    <t>27 de marzo de 2025</t>
  </si>
  <si>
    <t>11 de febrero de 2025</t>
  </si>
  <si>
    <t>20 de enero de 2025</t>
  </si>
  <si>
    <t>30 de enero de 2025</t>
  </si>
  <si>
    <t>28/01/2025, 18/02/2025</t>
  </si>
  <si>
    <t>Se genero custodia en falso ya que la carga no alcanzo a ser liberada hasta el dia siguiente</t>
  </si>
  <si>
    <t>40035 Serie M</t>
  </si>
  <si>
    <t>40036 Serie M</t>
  </si>
  <si>
    <t>40038 Serie M</t>
  </si>
  <si>
    <t>En conjunto con 5000651</t>
  </si>
  <si>
    <t>En conjunto con 5000652</t>
  </si>
  <si>
    <t>40088 Serie M</t>
  </si>
  <si>
    <t>40089 Serie M</t>
  </si>
  <si>
    <t>en conjunto con 5000590</t>
  </si>
  <si>
    <t>en conjunto con 5000588</t>
  </si>
  <si>
    <t>Almacen cerrado por fin de año</t>
  </si>
  <si>
    <t>14/01/2025, 28/01/2025, 18/02/2025</t>
  </si>
  <si>
    <t>28/02/2025, 18/02/2025</t>
  </si>
  <si>
    <t>En conjunto con 5000612</t>
  </si>
  <si>
    <t>En conjunto con 5000611</t>
  </si>
  <si>
    <t>14/01/2025, 18/02/2025</t>
  </si>
  <si>
    <t>En conjunto con 5000587</t>
  </si>
  <si>
    <t>En conjunto con 5000586</t>
  </si>
  <si>
    <t>LD-466446-178960</t>
  </si>
  <si>
    <t>F011805</t>
  </si>
  <si>
    <t>FB0000036592</t>
  </si>
  <si>
    <t>CPICPI0000001851</t>
  </si>
  <si>
    <t>000036T25</t>
  </si>
  <si>
    <t>PU 24-FEB</t>
  </si>
  <si>
    <t>UN3077</t>
  </si>
  <si>
    <t>SAVIRAM005</t>
  </si>
  <si>
    <t>SAVIRAM006</t>
  </si>
  <si>
    <t>SAVIRAM007</t>
  </si>
  <si>
    <t xml:space="preserve">WALDENCAST001 - ELEMENT001 </t>
  </si>
  <si>
    <t>Se pago cita extraordinaria, debido a mal clima y que solo contamos con 7dias libre de demoras para su pronta liberacion</t>
  </si>
  <si>
    <t>Por confirmar revalidacion</t>
  </si>
  <si>
    <t>SLMX25IO000AC448  SDS250000188  6408695800</t>
  </si>
  <si>
    <t>A38024</t>
  </si>
  <si>
    <t>Cambio de ETA del 23 al 25-FEB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</si>
</sst>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1540A]m/d/yyyy;@"/>
    <numFmt numFmtId="165" formatCode="[$-1540A]dd\ mmmm\,\ yyyy;@"/>
    <numFmt numFmtId="166" formatCode="[$-80A]d&quot; de &quot;mmmm&quot; de &quot;yyyy;@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Bahnschrift Light Condensed"/>
      <family val="2"/>
    </font>
    <font>
      <b/>
      <sz val="11"/>
      <color theme="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 style="thin">
        <color indexed="64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34998626667073579"/>
      </bottom>
      <diagonal/>
    </border>
    <border>
      <left/>
      <right/>
      <top style="medium">
        <color indexed="64"/>
      </top>
      <bottom style="thin">
        <color theme="1" tint="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4" fontId="4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</cellStyleXfs>
  <cellXfs count="30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44" fontId="1" fillId="3" borderId="6" xfId="1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11" xfId="0" applyBorder="1" applyAlignment="1">
      <alignment horizontal="left"/>
    </xf>
    <xf numFmtId="44" fontId="2" fillId="0" borderId="11" xfId="1" applyFont="1" applyFill="1" applyBorder="1" applyAlignment="1">
      <alignment horizontal="left"/>
    </xf>
    <xf numFmtId="14" fontId="2" fillId="0" borderId="11" xfId="0" applyNumberFormat="1" applyFont="1" applyBorder="1" applyAlignment="1">
      <alignment horizontal="center"/>
    </xf>
    <xf numFmtId="0" fontId="0" fillId="0" borderId="11" xfId="0" applyBorder="1"/>
    <xf numFmtId="44" fontId="0" fillId="0" borderId="11" xfId="1" applyFont="1" applyFill="1" applyBorder="1" applyAlignment="1">
      <alignment horizontal="left"/>
    </xf>
    <xf numFmtId="44" fontId="0" fillId="0" borderId="11" xfId="1" applyFont="1" applyFill="1" applyBorder="1" applyAlignment="1"/>
    <xf numFmtId="44" fontId="2" fillId="0" borderId="11" xfId="1" applyFont="1" applyFill="1" applyBorder="1" applyAlignment="1"/>
    <xf numFmtId="0" fontId="0" fillId="0" borderId="11" xfId="0" applyBorder="1" applyAlignment="1">
      <alignment horizontal="center"/>
    </xf>
    <xf numFmtId="44" fontId="0" fillId="0" borderId="11" xfId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0" fillId="0" borderId="24" xfId="0" applyBorder="1" applyAlignment="1">
      <alignment horizontal="left"/>
    </xf>
    <xf numFmtId="44" fontId="0" fillId="0" borderId="28" xfId="1" applyFont="1" applyFill="1" applyBorder="1" applyAlignment="1">
      <alignment horizontal="left"/>
    </xf>
    <xf numFmtId="44" fontId="2" fillId="0" borderId="29" xfId="1" applyFont="1" applyFill="1" applyBorder="1"/>
    <xf numFmtId="0" fontId="2" fillId="0" borderId="28" xfId="0" applyFont="1" applyBorder="1"/>
    <xf numFmtId="44" fontId="0" fillId="0" borderId="29" xfId="1" applyFont="1" applyFill="1" applyBorder="1" applyAlignment="1">
      <alignment horizontal="center"/>
    </xf>
    <xf numFmtId="44" fontId="0" fillId="0" borderId="25" xfId="1" applyFont="1" applyFill="1" applyBorder="1"/>
    <xf numFmtId="44" fontId="4" fillId="0" borderId="25" xfId="1" applyFont="1" applyFill="1" applyBorder="1"/>
    <xf numFmtId="44" fontId="4" fillId="0" borderId="29" xfId="1" applyFont="1" applyFill="1" applyBorder="1"/>
    <xf numFmtId="44" fontId="2" fillId="0" borderId="29" xfId="1" applyFont="1" applyFill="1" applyBorder="1" applyAlignment="1">
      <alignment horizontal="center"/>
    </xf>
    <xf numFmtId="44" fontId="0" fillId="0" borderId="29" xfId="1" applyFont="1" applyFill="1" applyBorder="1"/>
    <xf numFmtId="44" fontId="2" fillId="0" borderId="24" xfId="1" applyFont="1" applyFill="1" applyBorder="1"/>
    <xf numFmtId="0" fontId="5" fillId="0" borderId="11" xfId="0" applyFont="1" applyBorder="1"/>
    <xf numFmtId="1" fontId="0" fillId="0" borderId="11" xfId="0" applyNumberFormat="1" applyBorder="1" applyAlignment="1">
      <alignment horizontal="center"/>
    </xf>
    <xf numFmtId="44" fontId="0" fillId="0" borderId="29" xfId="1" applyFont="1" applyBorder="1" applyAlignment="1">
      <alignment horizontal="center"/>
    </xf>
    <xf numFmtId="43" fontId="0" fillId="0" borderId="0" xfId="5" applyFont="1"/>
    <xf numFmtId="43" fontId="0" fillId="0" borderId="11" xfId="5" applyFont="1" applyBorder="1"/>
    <xf numFmtId="14" fontId="0" fillId="0" borderId="11" xfId="0" applyNumberFormat="1" applyBorder="1"/>
    <xf numFmtId="49" fontId="0" fillId="0" borderId="11" xfId="1" applyNumberFormat="1" applyFont="1" applyFill="1" applyBorder="1" applyAlignment="1"/>
    <xf numFmtId="49" fontId="2" fillId="0" borderId="11" xfId="0" applyNumberFormat="1" applyFont="1" applyBorder="1" applyAlignment="1">
      <alignment horizontal="left"/>
    </xf>
    <xf numFmtId="14" fontId="0" fillId="0" borderId="11" xfId="0" applyNumberFormat="1" applyBorder="1" applyAlignment="1">
      <alignment horizontal="left"/>
    </xf>
    <xf numFmtId="14" fontId="0" fillId="0" borderId="0" xfId="0" applyNumberFormat="1"/>
    <xf numFmtId="49" fontId="0" fillId="0" borderId="11" xfId="1" applyNumberFormat="1" applyFont="1" applyFill="1" applyBorder="1" applyAlignment="1">
      <alignment horizontal="left"/>
    </xf>
    <xf numFmtId="43" fontId="0" fillId="0" borderId="0" xfId="5" applyFont="1" applyBorder="1"/>
    <xf numFmtId="0" fontId="0" fillId="5" borderId="11" xfId="0" applyFill="1" applyBorder="1" applyAlignment="1">
      <alignment horizontal="left"/>
    </xf>
    <xf numFmtId="0" fontId="0" fillId="5" borderId="0" xfId="0" applyFill="1"/>
    <xf numFmtId="0" fontId="0" fillId="5" borderId="11" xfId="0" applyFill="1" applyBorder="1"/>
    <xf numFmtId="8" fontId="0" fillId="0" borderId="29" xfId="1" applyNumberFormat="1" applyFont="1" applyFill="1" applyBorder="1" applyAlignment="1">
      <alignment horizontal="center"/>
    </xf>
    <xf numFmtId="44" fontId="2" fillId="0" borderId="11" xfId="1" applyFont="1" applyBorder="1"/>
    <xf numFmtId="0" fontId="0" fillId="0" borderId="36" xfId="0" applyBorder="1" applyAlignment="1">
      <alignment horizontal="left"/>
    </xf>
    <xf numFmtId="44" fontId="2" fillId="0" borderId="36" xfId="1" applyFont="1" applyFill="1" applyBorder="1" applyAlignment="1">
      <alignment horizontal="left"/>
    </xf>
    <xf numFmtId="1" fontId="0" fillId="0" borderId="11" xfId="5" applyNumberFormat="1" applyFont="1" applyBorder="1" applyAlignment="1">
      <alignment horizontal="center"/>
    </xf>
    <xf numFmtId="49" fontId="2" fillId="5" borderId="11" xfId="0" applyNumberFormat="1" applyFont="1" applyFill="1" applyBorder="1" applyAlignment="1">
      <alignment horizontal="left"/>
    </xf>
    <xf numFmtId="44" fontId="2" fillId="0" borderId="28" xfId="1" applyFont="1" applyFill="1" applyBorder="1" applyAlignment="1">
      <alignment horizontal="center"/>
    </xf>
    <xf numFmtId="0" fontId="3" fillId="5" borderId="0" xfId="0" applyFont="1" applyFill="1"/>
    <xf numFmtId="0" fontId="1" fillId="5" borderId="0" xfId="0" applyFont="1" applyFill="1" applyAlignment="1">
      <alignment horizontal="center" vertical="center"/>
    </xf>
    <xf numFmtId="44" fontId="0" fillId="5" borderId="0" xfId="1" applyFont="1" applyFill="1"/>
    <xf numFmtId="0" fontId="2" fillId="5" borderId="0" xfId="0" applyFont="1" applyFill="1"/>
    <xf numFmtId="8" fontId="2" fillId="0" borderId="11" xfId="1" applyNumberFormat="1" applyFont="1" applyFill="1" applyBorder="1" applyAlignment="1">
      <alignment horizontal="left"/>
    </xf>
    <xf numFmtId="0" fontId="0" fillId="0" borderId="37" xfId="0" applyBorder="1" applyAlignment="1">
      <alignment horizontal="left"/>
    </xf>
    <xf numFmtId="44" fontId="2" fillId="0" borderId="37" xfId="1" applyFont="1" applyFill="1" applyBorder="1" applyAlignment="1">
      <alignment horizontal="left"/>
    </xf>
    <xf numFmtId="0" fontId="0" fillId="0" borderId="38" xfId="0" applyBorder="1" applyAlignment="1">
      <alignment horizontal="left"/>
    </xf>
    <xf numFmtId="43" fontId="0" fillId="0" borderId="13" xfId="5" applyFont="1" applyBorder="1"/>
    <xf numFmtId="0" fontId="0" fillId="0" borderId="14" xfId="0" applyBorder="1"/>
    <xf numFmtId="14" fontId="0" fillId="0" borderId="14" xfId="0" applyNumberFormat="1" applyBorder="1"/>
    <xf numFmtId="0" fontId="0" fillId="0" borderId="14" xfId="0" applyBorder="1" applyAlignment="1">
      <alignment horizontal="right"/>
    </xf>
    <xf numFmtId="43" fontId="0" fillId="4" borderId="37" xfId="5" applyFont="1" applyFill="1" applyBorder="1"/>
    <xf numFmtId="0" fontId="0" fillId="4" borderId="37" xfId="0" applyFill="1" applyBorder="1"/>
    <xf numFmtId="14" fontId="0" fillId="4" borderId="37" xfId="0" applyNumberFormat="1" applyFill="1" applyBorder="1"/>
    <xf numFmtId="0" fontId="0" fillId="4" borderId="37" xfId="0" applyFill="1" applyBorder="1" applyAlignment="1">
      <alignment horizontal="center"/>
    </xf>
    <xf numFmtId="43" fontId="0" fillId="0" borderId="40" xfId="5" applyFont="1" applyBorder="1"/>
    <xf numFmtId="0" fontId="0" fillId="0" borderId="41" xfId="0" applyBorder="1"/>
    <xf numFmtId="14" fontId="0" fillId="0" borderId="41" xfId="0" applyNumberFormat="1" applyBorder="1"/>
    <xf numFmtId="0" fontId="0" fillId="0" borderId="41" xfId="0" applyBorder="1" applyAlignment="1">
      <alignment horizontal="center"/>
    </xf>
    <xf numFmtId="43" fontId="0" fillId="0" borderId="41" xfId="5" applyFont="1" applyBorder="1"/>
    <xf numFmtId="43" fontId="0" fillId="6" borderId="39" xfId="0" applyNumberFormat="1" applyFill="1" applyBorder="1"/>
    <xf numFmtId="43" fontId="0" fillId="0" borderId="12" xfId="5" applyFont="1" applyBorder="1"/>
    <xf numFmtId="0" fontId="0" fillId="0" borderId="16" xfId="0" applyBorder="1"/>
    <xf numFmtId="0" fontId="0" fillId="0" borderId="16" xfId="0" applyBorder="1" applyAlignment="1">
      <alignment horizontal="right"/>
    </xf>
    <xf numFmtId="43" fontId="0" fillId="0" borderId="16" xfId="5" applyFont="1" applyBorder="1"/>
    <xf numFmtId="14" fontId="0" fillId="0" borderId="16" xfId="0" applyNumberFormat="1" applyBorder="1"/>
    <xf numFmtId="0" fontId="0" fillId="0" borderId="16" xfId="0" applyBorder="1" applyAlignment="1">
      <alignment horizontal="center"/>
    </xf>
    <xf numFmtId="43" fontId="0" fillId="6" borderId="33" xfId="0" applyNumberFormat="1" applyFill="1" applyBorder="1"/>
    <xf numFmtId="43" fontId="0" fillId="0" borderId="14" xfId="5" applyFont="1" applyBorder="1"/>
    <xf numFmtId="3" fontId="0" fillId="0" borderId="41" xfId="0" applyNumberFormat="1" applyBorder="1"/>
    <xf numFmtId="43" fontId="8" fillId="0" borderId="11" xfId="5" applyFont="1" applyBorder="1"/>
    <xf numFmtId="0" fontId="5" fillId="5" borderId="11" xfId="0" applyFont="1" applyFill="1" applyBorder="1"/>
    <xf numFmtId="44" fontId="2" fillId="5" borderId="11" xfId="1" applyFont="1" applyFill="1" applyBorder="1" applyAlignment="1">
      <alignment horizontal="left"/>
    </xf>
    <xf numFmtId="165" fontId="2" fillId="5" borderId="11" xfId="0" applyNumberFormat="1" applyFont="1" applyFill="1" applyBorder="1" applyAlignment="1">
      <alignment horizontal="center"/>
    </xf>
    <xf numFmtId="44" fontId="3" fillId="5" borderId="0" xfId="1" applyFont="1" applyFill="1"/>
    <xf numFmtId="44" fontId="5" fillId="5" borderId="0" xfId="1" applyFont="1" applyFill="1"/>
    <xf numFmtId="16" fontId="0" fillId="0" borderId="11" xfId="0" applyNumberFormat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1" fillId="8" borderId="17" xfId="0" applyFont="1" applyFill="1" applyBorder="1" applyAlignment="1">
      <alignment vertical="center"/>
    </xf>
    <xf numFmtId="0" fontId="1" fillId="8" borderId="18" xfId="0" applyFont="1" applyFill="1" applyBorder="1" applyAlignment="1">
      <alignment horizontal="left" vertical="center"/>
    </xf>
    <xf numFmtId="0" fontId="1" fillId="8" borderId="19" xfId="0" applyFont="1" applyFill="1" applyBorder="1" applyAlignment="1">
      <alignment horizontal="left" vertical="center"/>
    </xf>
    <xf numFmtId="0" fontId="9" fillId="8" borderId="19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vertical="center" wrapText="1"/>
    </xf>
    <xf numFmtId="49" fontId="1" fillId="8" borderId="19" xfId="0" applyNumberFormat="1" applyFont="1" applyFill="1" applyBorder="1" applyAlignment="1">
      <alignment horizontal="left" vertical="center"/>
    </xf>
    <xf numFmtId="44" fontId="1" fillId="8" borderId="19" xfId="1" applyFont="1" applyFill="1" applyBorder="1" applyAlignment="1">
      <alignment horizontal="left" vertical="center"/>
    </xf>
    <xf numFmtId="0" fontId="1" fillId="8" borderId="17" xfId="0" applyFont="1" applyFill="1" applyBorder="1" applyAlignment="1">
      <alignment horizontal="left" vertical="center"/>
    </xf>
    <xf numFmtId="0" fontId="1" fillId="8" borderId="26" xfId="0" applyFont="1" applyFill="1" applyBorder="1" applyAlignment="1">
      <alignment horizontal="left" vertical="center"/>
    </xf>
    <xf numFmtId="49" fontId="1" fillId="8" borderId="19" xfId="1" applyNumberFormat="1" applyFont="1" applyFill="1" applyBorder="1" applyAlignment="1">
      <alignment horizontal="left" vertical="center" wrapText="1"/>
    </xf>
    <xf numFmtId="44" fontId="1" fillId="8" borderId="19" xfId="1" applyFont="1" applyFill="1" applyBorder="1" applyAlignment="1">
      <alignment vertical="center" wrapText="1"/>
    </xf>
    <xf numFmtId="44" fontId="1" fillId="8" borderId="27" xfId="1" applyFont="1" applyFill="1" applyBorder="1" applyAlignment="1">
      <alignment vertical="center"/>
    </xf>
    <xf numFmtId="1" fontId="1" fillId="8" borderId="26" xfId="5" applyNumberFormat="1" applyFont="1" applyFill="1" applyBorder="1" applyAlignment="1">
      <alignment horizontal="center" vertical="center"/>
    </xf>
    <xf numFmtId="1" fontId="1" fillId="8" borderId="19" xfId="5" applyNumberFormat="1" applyFont="1" applyFill="1" applyBorder="1" applyAlignment="1">
      <alignment horizontal="center" vertical="center" wrapText="1"/>
    </xf>
    <xf numFmtId="1" fontId="1" fillId="8" borderId="19" xfId="0" applyNumberFormat="1" applyFont="1" applyFill="1" applyBorder="1" applyAlignment="1">
      <alignment horizontal="center" vertical="center" wrapText="1"/>
    </xf>
    <xf numFmtId="44" fontId="1" fillId="8" borderId="27" xfId="1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 wrapText="1"/>
    </xf>
    <xf numFmtId="44" fontId="1" fillId="8" borderId="26" xfId="1" applyFont="1" applyFill="1" applyBorder="1" applyAlignment="1">
      <alignment horizontal="center" vertical="center" wrapText="1"/>
    </xf>
    <xf numFmtId="44" fontId="9" fillId="8" borderId="27" xfId="1" applyFont="1" applyFill="1" applyBorder="1" applyAlignment="1">
      <alignment horizontal="center" vertical="center"/>
    </xf>
    <xf numFmtId="44" fontId="9" fillId="8" borderId="21" xfId="1" applyFont="1" applyFill="1" applyBorder="1" applyAlignment="1">
      <alignment vertical="center"/>
    </xf>
    <xf numFmtId="44" fontId="1" fillId="8" borderId="17" xfId="1" applyFont="1" applyFill="1" applyBorder="1" applyAlignment="1">
      <alignment vertical="center"/>
    </xf>
    <xf numFmtId="0" fontId="1" fillId="8" borderId="0" xfId="0" applyFont="1" applyFill="1" applyAlignment="1">
      <alignment horizontal="center" vertical="center"/>
    </xf>
    <xf numFmtId="49" fontId="1" fillId="8" borderId="23" xfId="1" applyNumberFormat="1" applyFont="1" applyFill="1" applyBorder="1" applyAlignment="1">
      <alignment vertical="center"/>
    </xf>
    <xf numFmtId="44" fontId="1" fillId="8" borderId="21" xfId="1" applyFont="1" applyFill="1" applyBorder="1" applyAlignment="1">
      <alignment horizontal="center" vertical="center" wrapText="1"/>
    </xf>
    <xf numFmtId="44" fontId="1" fillId="8" borderId="19" xfId="1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/>
    </xf>
    <xf numFmtId="14" fontId="1" fillId="8" borderId="22" xfId="0" applyNumberFormat="1" applyFont="1" applyFill="1" applyBorder="1" applyAlignment="1">
      <alignment horizontal="left" vertical="center" wrapText="1"/>
    </xf>
    <xf numFmtId="0" fontId="1" fillId="8" borderId="21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left" vertical="center"/>
    </xf>
    <xf numFmtId="44" fontId="3" fillId="8" borderId="0" xfId="1" applyFont="1" applyFill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44" fontId="3" fillId="7" borderId="2" xfId="1" applyFont="1" applyFill="1" applyBorder="1" applyAlignment="1">
      <alignment horizontal="center"/>
    </xf>
    <xf numFmtId="0" fontId="3" fillId="7" borderId="2" xfId="0" applyFont="1" applyFill="1" applyBorder="1" applyAlignment="1">
      <alignment horizontal="right"/>
    </xf>
    <xf numFmtId="0" fontId="3" fillId="7" borderId="7" xfId="0" applyFont="1" applyFill="1" applyBorder="1" applyAlignment="1">
      <alignment horizontal="right"/>
    </xf>
    <xf numFmtId="0" fontId="3" fillId="7" borderId="3" xfId="0" applyFont="1" applyFill="1" applyBorder="1"/>
    <xf numFmtId="0" fontId="3" fillId="7" borderId="0" xfId="0" applyFont="1" applyFill="1"/>
    <xf numFmtId="0" fontId="3" fillId="7" borderId="0" xfId="0" applyFont="1" applyFill="1" applyAlignment="1">
      <alignment horizontal="left"/>
    </xf>
    <xf numFmtId="44" fontId="3" fillId="7" borderId="0" xfId="1" applyFont="1" applyFill="1"/>
    <xf numFmtId="166" fontId="1" fillId="8" borderId="19" xfId="0" applyNumberFormat="1" applyFont="1" applyFill="1" applyBorder="1" applyAlignment="1">
      <alignment horizontal="left" vertical="center" wrapText="1"/>
    </xf>
    <xf numFmtId="166" fontId="2" fillId="5" borderId="11" xfId="0" applyNumberFormat="1" applyFont="1" applyFill="1" applyBorder="1" applyAlignment="1">
      <alignment horizontal="left"/>
    </xf>
    <xf numFmtId="166" fontId="2" fillId="0" borderId="37" xfId="0" applyNumberFormat="1" applyFont="1" applyBorder="1" applyAlignment="1">
      <alignment horizontal="left"/>
    </xf>
    <xf numFmtId="166" fontId="2" fillId="0" borderId="11" xfId="0" applyNumberFormat="1" applyFont="1" applyBorder="1" applyAlignment="1">
      <alignment horizontal="left"/>
    </xf>
    <xf numFmtId="166" fontId="2" fillId="0" borderId="36" xfId="0" applyNumberFormat="1" applyFont="1" applyBorder="1" applyAlignment="1">
      <alignment horizontal="left"/>
    </xf>
    <xf numFmtId="166" fontId="0" fillId="5" borderId="0" xfId="0" applyNumberFormat="1" applyFill="1" applyAlignment="1">
      <alignment horizontal="left"/>
    </xf>
    <xf numFmtId="1" fontId="0" fillId="0" borderId="11" xfId="0" applyNumberFormat="1" applyBorder="1" applyAlignment="1">
      <alignment horizontal="left"/>
    </xf>
    <xf numFmtId="0" fontId="3" fillId="7" borderId="44" xfId="0" applyFont="1" applyFill="1" applyBorder="1"/>
    <xf numFmtId="0" fontId="3" fillId="7" borderId="45" xfId="0" applyFont="1" applyFill="1" applyBorder="1"/>
    <xf numFmtId="0" fontId="0" fillId="0" borderId="11" xfId="0" applyBorder="1" applyAlignment="1">
      <alignment horizontal="left" wrapText="1"/>
    </xf>
    <xf numFmtId="0" fontId="0" fillId="5" borderId="11" xfId="0" applyFill="1" applyBorder="1" applyAlignment="1">
      <alignment horizontal="center"/>
    </xf>
    <xf numFmtId="165" fontId="2" fillId="5" borderId="11" xfId="0" applyNumberFormat="1" applyFont="1" applyFill="1" applyBorder="1" applyAlignment="1">
      <alignment horizontal="left"/>
    </xf>
    <xf numFmtId="8" fontId="2" fillId="5" borderId="11" xfId="1" applyNumberFormat="1" applyFont="1" applyFill="1" applyBorder="1" applyAlignment="1">
      <alignment horizontal="center"/>
    </xf>
    <xf numFmtId="0" fontId="5" fillId="7" borderId="0" xfId="0" applyFont="1" applyFill="1"/>
    <xf numFmtId="0" fontId="9" fillId="8" borderId="19" xfId="0" applyFont="1" applyFill="1" applyBorder="1" applyAlignment="1">
      <alignment horizontal="left" vertical="center"/>
    </xf>
    <xf numFmtId="49" fontId="0" fillId="0" borderId="11" xfId="0" applyNumberFormat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11" fillId="8" borderId="42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left"/>
    </xf>
    <xf numFmtId="8" fontId="0" fillId="0" borderId="11" xfId="1" applyNumberFormat="1" applyFont="1" applyFill="1" applyBorder="1" applyAlignment="1"/>
    <xf numFmtId="43" fontId="2" fillId="6" borderId="46" xfId="0" applyNumberFormat="1" applyFont="1" applyFill="1" applyBorder="1"/>
    <xf numFmtId="43" fontId="0" fillId="6" borderId="47" xfId="0" applyNumberFormat="1" applyFill="1" applyBorder="1"/>
    <xf numFmtId="8" fontId="2" fillId="0" borderId="11" xfId="1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25" xfId="0" applyBorder="1" applyAlignment="1">
      <alignment horizontal="center"/>
    </xf>
    <xf numFmtId="44" fontId="13" fillId="0" borderId="11" xfId="1" applyFont="1" applyFill="1" applyBorder="1" applyAlignment="1">
      <alignment horizontal="left"/>
    </xf>
    <xf numFmtId="8" fontId="13" fillId="0" borderId="11" xfId="1" applyNumberFormat="1" applyFont="1" applyFill="1" applyBorder="1" applyAlignment="1">
      <alignment horizontal="center"/>
    </xf>
    <xf numFmtId="165" fontId="13" fillId="0" borderId="11" xfId="0" applyNumberFormat="1" applyFont="1" applyBorder="1" applyAlignment="1">
      <alignment horizontal="left"/>
    </xf>
    <xf numFmtId="165" fontId="14" fillId="0" borderId="11" xfId="0" applyNumberFormat="1" applyFont="1" applyBorder="1" applyAlignment="1">
      <alignment horizontal="center"/>
    </xf>
    <xf numFmtId="0" fontId="11" fillId="8" borderId="43" xfId="0" applyFont="1" applyFill="1" applyBorder="1" applyAlignment="1">
      <alignment horizontal="center" vertical="center"/>
    </xf>
    <xf numFmtId="44" fontId="11" fillId="8" borderId="43" xfId="1" applyFont="1" applyFill="1" applyBorder="1" applyAlignment="1">
      <alignment horizontal="center" wrapText="1"/>
    </xf>
    <xf numFmtId="44" fontId="11" fillId="8" borderId="43" xfId="1" applyFont="1" applyFill="1" applyBorder="1" applyAlignment="1">
      <alignment horizontal="center" vertical="center" wrapText="1"/>
    </xf>
    <xf numFmtId="165" fontId="11" fillId="8" borderId="43" xfId="0" applyNumberFormat="1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15" fillId="8" borderId="42" xfId="0" applyFont="1" applyFill="1" applyBorder="1" applyAlignment="1">
      <alignment horizontal="center" vertical="center" wrapText="1"/>
    </xf>
    <xf numFmtId="49" fontId="2" fillId="0" borderId="37" xfId="0" applyNumberFormat="1" applyFont="1" applyBorder="1" applyAlignment="1">
      <alignment horizontal="left"/>
    </xf>
    <xf numFmtId="14" fontId="2" fillId="0" borderId="11" xfId="0" applyNumberFormat="1" applyFont="1" applyBorder="1" applyAlignment="1">
      <alignment horizontal="left"/>
    </xf>
    <xf numFmtId="0" fontId="10" fillId="0" borderId="1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2" fillId="0" borderId="11" xfId="0" applyFont="1" applyBorder="1"/>
    <xf numFmtId="0" fontId="0" fillId="0" borderId="28" xfId="1" applyNumberFormat="1" applyFont="1" applyFill="1" applyBorder="1" applyAlignment="1">
      <alignment horizontal="center"/>
    </xf>
    <xf numFmtId="44" fontId="2" fillId="0" borderId="49" xfId="1" applyFont="1" applyFill="1" applyBorder="1" applyAlignment="1">
      <alignment horizontal="center"/>
    </xf>
    <xf numFmtId="0" fontId="10" fillId="0" borderId="24" xfId="0" applyFont="1" applyBorder="1" applyAlignment="1">
      <alignment vertical="center"/>
    </xf>
    <xf numFmtId="14" fontId="2" fillId="0" borderId="36" xfId="0" applyNumberFormat="1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14" fontId="2" fillId="0" borderId="36" xfId="0" applyNumberFormat="1" applyFont="1" applyBorder="1" applyAlignment="1">
      <alignment horizontal="center"/>
    </xf>
    <xf numFmtId="0" fontId="0" fillId="0" borderId="37" xfId="0" applyBorder="1"/>
    <xf numFmtId="0" fontId="0" fillId="0" borderId="51" xfId="0" applyBorder="1" applyAlignment="1">
      <alignment horizontal="left"/>
    </xf>
    <xf numFmtId="0" fontId="5" fillId="0" borderId="37" xfId="0" applyFont="1" applyBorder="1"/>
    <xf numFmtId="44" fontId="2" fillId="0" borderId="51" xfId="1" applyFont="1" applyFill="1" applyBorder="1" applyAlignment="1">
      <alignment horizontal="left"/>
    </xf>
    <xf numFmtId="166" fontId="2" fillId="0" borderId="51" xfId="0" applyNumberFormat="1" applyFont="1" applyBorder="1" applyAlignment="1">
      <alignment horizontal="left"/>
    </xf>
    <xf numFmtId="49" fontId="0" fillId="0" borderId="37" xfId="1" applyNumberFormat="1" applyFont="1" applyFill="1" applyBorder="1" applyAlignment="1">
      <alignment horizontal="left"/>
    </xf>
    <xf numFmtId="49" fontId="0" fillId="0" borderId="37" xfId="1" applyNumberFormat="1" applyFont="1" applyFill="1" applyBorder="1" applyAlignment="1"/>
    <xf numFmtId="44" fontId="0" fillId="0" borderId="37" xfId="1" applyFont="1" applyFill="1" applyBorder="1" applyAlignment="1"/>
    <xf numFmtId="44" fontId="2" fillId="0" borderId="37" xfId="1" applyFont="1" applyFill="1" applyBorder="1" applyAlignment="1"/>
    <xf numFmtId="44" fontId="0" fillId="0" borderId="52" xfId="1" applyFont="1" applyBorder="1" applyAlignment="1">
      <alignment horizontal="center"/>
    </xf>
    <xf numFmtId="1" fontId="0" fillId="0" borderId="37" xfId="5" applyNumberFormat="1" applyFont="1" applyBorder="1" applyAlignment="1">
      <alignment horizontal="center"/>
    </xf>
    <xf numFmtId="44" fontId="2" fillId="0" borderId="52" xfId="1" applyFont="1" applyFill="1" applyBorder="1"/>
    <xf numFmtId="0" fontId="2" fillId="0" borderId="53" xfId="0" applyFont="1" applyBorder="1"/>
    <xf numFmtId="44" fontId="0" fillId="0" borderId="52" xfId="1" applyFont="1" applyFill="1" applyBorder="1" applyAlignment="1">
      <alignment horizontal="center"/>
    </xf>
    <xf numFmtId="44" fontId="0" fillId="0" borderId="53" xfId="1" applyFont="1" applyFill="1" applyBorder="1" applyAlignment="1">
      <alignment horizontal="left"/>
    </xf>
    <xf numFmtId="44" fontId="4" fillId="0" borderId="52" xfId="1" applyFont="1" applyFill="1" applyBorder="1"/>
    <xf numFmtId="44" fontId="4" fillId="0" borderId="54" xfId="1" applyFont="1" applyFill="1" applyBorder="1"/>
    <xf numFmtId="44" fontId="2" fillId="0" borderId="38" xfId="1" applyFont="1" applyFill="1" applyBorder="1"/>
    <xf numFmtId="0" fontId="0" fillId="0" borderId="37" xfId="0" applyBorder="1" applyAlignment="1">
      <alignment horizontal="center"/>
    </xf>
    <xf numFmtId="44" fontId="2" fillId="0" borderId="52" xfId="1" applyFont="1" applyFill="1" applyBorder="1" applyAlignment="1">
      <alignment horizontal="center"/>
    </xf>
    <xf numFmtId="44" fontId="0" fillId="0" borderId="52" xfId="1" applyFont="1" applyFill="1" applyBorder="1"/>
    <xf numFmtId="44" fontId="0" fillId="0" borderId="54" xfId="1" applyFont="1" applyFill="1" applyBorder="1"/>
    <xf numFmtId="44" fontId="0" fillId="0" borderId="37" xfId="1" applyFont="1" applyFill="1" applyBorder="1" applyAlignment="1">
      <alignment horizontal="center"/>
    </xf>
    <xf numFmtId="14" fontId="0" fillId="0" borderId="37" xfId="0" applyNumberFormat="1" applyBorder="1" applyAlignment="1">
      <alignment horizontal="left"/>
    </xf>
    <xf numFmtId="0" fontId="0" fillId="0" borderId="55" xfId="0" applyBorder="1"/>
    <xf numFmtId="0" fontId="0" fillId="0" borderId="55" xfId="0" applyBorder="1" applyAlignment="1">
      <alignment horizontal="left"/>
    </xf>
    <xf numFmtId="0" fontId="5" fillId="0" borderId="55" xfId="0" applyFont="1" applyBorder="1"/>
    <xf numFmtId="49" fontId="2" fillId="0" borderId="55" xfId="0" applyNumberFormat="1" applyFont="1" applyBorder="1" applyAlignment="1">
      <alignment horizontal="left"/>
    </xf>
    <xf numFmtId="44" fontId="2" fillId="0" borderId="55" xfId="1" applyFont="1" applyFill="1" applyBorder="1" applyAlignment="1">
      <alignment horizontal="left"/>
    </xf>
    <xf numFmtId="166" fontId="2" fillId="0" borderId="55" xfId="0" applyNumberFormat="1" applyFont="1" applyBorder="1" applyAlignment="1">
      <alignment horizontal="left"/>
    </xf>
    <xf numFmtId="0" fontId="10" fillId="0" borderId="55" xfId="0" applyFont="1" applyBorder="1" applyAlignment="1">
      <alignment vertical="center"/>
    </xf>
    <xf numFmtId="44" fontId="0" fillId="0" borderId="55" xfId="1" applyFont="1" applyFill="1" applyBorder="1" applyAlignment="1">
      <alignment horizontal="left"/>
    </xf>
    <xf numFmtId="49" fontId="0" fillId="0" borderId="55" xfId="1" applyNumberFormat="1" applyFont="1" applyFill="1" applyBorder="1" applyAlignment="1"/>
    <xf numFmtId="44" fontId="0" fillId="0" borderId="55" xfId="1" applyFont="1" applyFill="1" applyBorder="1" applyAlignment="1"/>
    <xf numFmtId="44" fontId="2" fillId="0" borderId="55" xfId="1" applyFont="1" applyFill="1" applyBorder="1" applyAlignment="1"/>
    <xf numFmtId="44" fontId="0" fillId="0" borderId="49" xfId="1" applyFont="1" applyBorder="1" applyAlignment="1">
      <alignment horizontal="center"/>
    </xf>
    <xf numFmtId="1" fontId="0" fillId="0" borderId="55" xfId="5" applyNumberFormat="1" applyFont="1" applyBorder="1" applyAlignment="1">
      <alignment horizontal="center"/>
    </xf>
    <xf numFmtId="1" fontId="0" fillId="0" borderId="55" xfId="0" applyNumberFormat="1" applyBorder="1" applyAlignment="1">
      <alignment horizontal="center"/>
    </xf>
    <xf numFmtId="44" fontId="2" fillId="0" borderId="49" xfId="1" applyFont="1" applyFill="1" applyBorder="1"/>
    <xf numFmtId="0" fontId="2" fillId="0" borderId="48" xfId="0" applyFont="1" applyBorder="1"/>
    <xf numFmtId="44" fontId="0" fillId="0" borderId="49" xfId="1" applyFont="1" applyFill="1" applyBorder="1" applyAlignment="1">
      <alignment horizontal="center"/>
    </xf>
    <xf numFmtId="44" fontId="0" fillId="0" borderId="48" xfId="1" applyFont="1" applyFill="1" applyBorder="1" applyAlignment="1">
      <alignment horizontal="left"/>
    </xf>
    <xf numFmtId="44" fontId="4" fillId="0" borderId="49" xfId="1" applyFont="1" applyFill="1" applyBorder="1"/>
    <xf numFmtId="44" fontId="4" fillId="0" borderId="56" xfId="1" applyFont="1" applyFill="1" applyBorder="1"/>
    <xf numFmtId="0" fontId="0" fillId="0" borderId="55" xfId="0" applyBorder="1" applyAlignment="1">
      <alignment horizontal="center"/>
    </xf>
    <xf numFmtId="44" fontId="2" fillId="0" borderId="50" xfId="1" applyFont="1" applyFill="1" applyBorder="1"/>
    <xf numFmtId="44" fontId="0" fillId="0" borderId="49" xfId="1" applyFont="1" applyFill="1" applyBorder="1"/>
    <xf numFmtId="44" fontId="0" fillId="0" borderId="56" xfId="1" applyFont="1" applyFill="1" applyBorder="1"/>
    <xf numFmtId="44" fontId="0" fillId="0" borderId="55" xfId="1" applyFont="1" applyFill="1" applyBorder="1" applyAlignment="1">
      <alignment horizontal="center"/>
    </xf>
    <xf numFmtId="14" fontId="0" fillId="0" borderId="55" xfId="0" applyNumberFormat="1" applyBorder="1" applyAlignment="1">
      <alignment horizontal="left"/>
    </xf>
    <xf numFmtId="0" fontId="0" fillId="9" borderId="11" xfId="0" applyFill="1" applyBorder="1" applyAlignment="1">
      <alignment horizontal="left"/>
    </xf>
    <xf numFmtId="0" fontId="0" fillId="9" borderId="55" xfId="0" applyFill="1" applyBorder="1" applyAlignment="1">
      <alignment horizontal="left"/>
    </xf>
    <xf numFmtId="0" fontId="0" fillId="10" borderId="37" xfId="0" applyFill="1" applyBorder="1" applyAlignment="1">
      <alignment horizontal="left"/>
    </xf>
    <xf numFmtId="8" fontId="13" fillId="0" borderId="11" xfId="1" applyNumberFormat="1" applyFont="1" applyFill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44" fontId="17" fillId="0" borderId="11" xfId="1" applyFont="1" applyFill="1" applyBorder="1" applyAlignment="1">
      <alignment horizontal="left"/>
    </xf>
    <xf numFmtId="8" fontId="17" fillId="0" borderId="11" xfId="1" applyNumberFormat="1" applyFont="1" applyFill="1" applyBorder="1" applyAlignment="1">
      <alignment horizontal="center"/>
    </xf>
    <xf numFmtId="165" fontId="17" fillId="0" borderId="11" xfId="0" applyNumberFormat="1" applyFont="1" applyBorder="1" applyAlignment="1">
      <alignment horizontal="left"/>
    </xf>
    <xf numFmtId="165" fontId="18" fillId="0" borderId="11" xfId="0" applyNumberFormat="1" applyFont="1" applyBorder="1" applyAlignment="1">
      <alignment horizontal="center"/>
    </xf>
    <xf numFmtId="8" fontId="17" fillId="0" borderId="11" xfId="1" applyNumberFormat="1" applyFont="1" applyFill="1" applyBorder="1" applyAlignment="1">
      <alignment horizontal="left"/>
    </xf>
    <xf numFmtId="0" fontId="5" fillId="0" borderId="24" xfId="0" applyFont="1" applyBorder="1" applyAlignment="1">
      <alignment horizontal="left"/>
    </xf>
    <xf numFmtId="165" fontId="2" fillId="0" borderId="11" xfId="0" applyNumberFormat="1" applyFont="1" applyBorder="1" applyAlignment="1">
      <alignment horizontal="left"/>
    </xf>
    <xf numFmtId="165" fontId="3" fillId="0" borderId="11" xfId="0" applyNumberFormat="1" applyFont="1" applyBorder="1" applyAlignment="1">
      <alignment horizontal="center"/>
    </xf>
    <xf numFmtId="0" fontId="19" fillId="0" borderId="57" xfId="0" applyFont="1" applyBorder="1" applyAlignment="1">
      <alignment horizontal="left" vertical="center"/>
    </xf>
    <xf numFmtId="0" fontId="5" fillId="4" borderId="11" xfId="0" applyFont="1" applyFill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24" xfId="0" applyFont="1" applyBorder="1" applyAlignment="1">
      <alignment horizontal="left"/>
    </xf>
    <xf numFmtId="44" fontId="21" fillId="0" borderId="11" xfId="1" applyFont="1" applyFill="1" applyBorder="1" applyAlignment="1">
      <alignment horizontal="left"/>
    </xf>
    <xf numFmtId="8" fontId="21" fillId="0" borderId="11" xfId="1" applyNumberFormat="1" applyFont="1" applyFill="1" applyBorder="1" applyAlignment="1">
      <alignment horizontal="center"/>
    </xf>
    <xf numFmtId="165" fontId="21" fillId="0" borderId="11" xfId="0" applyNumberFormat="1" applyFont="1" applyBorder="1" applyAlignment="1">
      <alignment horizontal="left"/>
    </xf>
    <xf numFmtId="165" fontId="22" fillId="0" borderId="11" xfId="0" applyNumberFormat="1" applyFont="1" applyBorder="1" applyAlignment="1">
      <alignment horizontal="center"/>
    </xf>
    <xf numFmtId="8" fontId="4" fillId="0" borderId="29" xfId="1" applyNumberFormat="1" applyFont="1" applyFill="1" applyBorder="1"/>
    <xf numFmtId="0" fontId="5" fillId="11" borderId="11" xfId="0" applyFont="1" applyFill="1" applyBorder="1" applyAlignment="1">
      <alignment horizontal="left"/>
    </xf>
    <xf numFmtId="0" fontId="0" fillId="12" borderId="11" xfId="0" applyFill="1" applyBorder="1" applyAlignment="1">
      <alignment horizontal="left"/>
    </xf>
    <xf numFmtId="166" fontId="9" fillId="8" borderId="19" xfId="0" applyNumberFormat="1" applyFont="1" applyFill="1" applyBorder="1" applyAlignment="1">
      <alignment horizontal="center" vertical="center" wrapText="1"/>
    </xf>
    <xf numFmtId="166" fontId="0" fillId="0" borderId="11" xfId="1" applyNumberFormat="1" applyFont="1" applyFill="1" applyBorder="1" applyAlignment="1">
      <alignment horizontal="center"/>
    </xf>
    <xf numFmtId="166" fontId="0" fillId="0" borderId="55" xfId="1" applyNumberFormat="1" applyFont="1" applyFill="1" applyBorder="1" applyAlignment="1">
      <alignment horizontal="center"/>
    </xf>
    <xf numFmtId="166" fontId="0" fillId="0" borderId="37" xfId="5" applyNumberFormat="1" applyFont="1" applyBorder="1" applyAlignment="1">
      <alignment horizontal="center"/>
    </xf>
    <xf numFmtId="166" fontId="0" fillId="0" borderId="11" xfId="5" applyNumberFormat="1" applyFont="1" applyBorder="1" applyAlignment="1">
      <alignment horizontal="center"/>
    </xf>
    <xf numFmtId="166" fontId="0" fillId="5" borderId="0" xfId="0" applyNumberFormat="1" applyFill="1"/>
    <xf numFmtId="8" fontId="21" fillId="0" borderId="11" xfId="1" applyNumberFormat="1" applyFont="1" applyFill="1" applyBorder="1" applyAlignment="1">
      <alignment horizontal="left"/>
    </xf>
    <xf numFmtId="0" fontId="3" fillId="7" borderId="0" xfId="0" applyFont="1" applyFill="1" applyAlignment="1">
      <alignment horizontal="center"/>
    </xf>
    <xf numFmtId="2" fontId="1" fillId="8" borderId="34" xfId="1" applyNumberFormat="1" applyFont="1" applyFill="1" applyBorder="1" applyAlignment="1">
      <alignment vertical="center"/>
    </xf>
    <xf numFmtId="2" fontId="0" fillId="0" borderId="28" xfId="1" applyNumberFormat="1" applyFont="1" applyFill="1" applyBorder="1" applyAlignment="1">
      <alignment horizontal="center"/>
    </xf>
    <xf numFmtId="2" fontId="0" fillId="0" borderId="48" xfId="1" applyNumberFormat="1" applyFont="1" applyFill="1" applyBorder="1" applyAlignment="1">
      <alignment horizontal="center"/>
    </xf>
    <xf numFmtId="2" fontId="0" fillId="0" borderId="53" xfId="1" applyNumberFormat="1" applyFont="1" applyFill="1" applyBorder="1" applyAlignment="1">
      <alignment horizontal="center"/>
    </xf>
    <xf numFmtId="2" fontId="0" fillId="5" borderId="0" xfId="0" applyNumberFormat="1" applyFill="1"/>
    <xf numFmtId="8" fontId="2" fillId="0" borderId="29" xfId="1" applyNumberFormat="1" applyFont="1" applyFill="1" applyBorder="1" applyAlignment="1">
      <alignment horizontal="center"/>
    </xf>
    <xf numFmtId="49" fontId="0" fillId="5" borderId="0" xfId="0" applyNumberFormat="1" applyFill="1"/>
    <xf numFmtId="49" fontId="1" fillId="8" borderId="19" xfId="0" applyNumberFormat="1" applyFont="1" applyFill="1" applyBorder="1" applyAlignment="1">
      <alignment horizontal="center" vertical="center" wrapText="1"/>
    </xf>
    <xf numFmtId="49" fontId="0" fillId="0" borderId="11" xfId="1" applyNumberFormat="1" applyFont="1" applyFill="1" applyBorder="1" applyAlignment="1">
      <alignment horizontal="center"/>
    </xf>
    <xf numFmtId="49" fontId="0" fillId="0" borderId="55" xfId="1" applyNumberFormat="1" applyFont="1" applyFill="1" applyBorder="1" applyAlignment="1">
      <alignment horizontal="center"/>
    </xf>
    <xf numFmtId="49" fontId="0" fillId="0" borderId="37" xfId="1" applyNumberFormat="1" applyFont="1" applyFill="1" applyBorder="1" applyAlignment="1">
      <alignment horizontal="center"/>
    </xf>
    <xf numFmtId="49" fontId="1" fillId="8" borderId="17" xfId="1" applyNumberFormat="1" applyFont="1" applyFill="1" applyBorder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/>
    </xf>
    <xf numFmtId="49" fontId="9" fillId="8" borderId="19" xfId="1" applyNumberFormat="1" applyFont="1" applyFill="1" applyBorder="1" applyAlignment="1">
      <alignment horizontal="center" vertical="center"/>
    </xf>
    <xf numFmtId="49" fontId="0" fillId="0" borderId="11" xfId="0" applyNumberFormat="1" applyBorder="1" applyAlignment="1">
      <alignment horizontal="center"/>
    </xf>
    <xf numFmtId="49" fontId="4" fillId="0" borderId="11" xfId="1" applyNumberFormat="1" applyFont="1" applyFill="1" applyBorder="1" applyAlignment="1">
      <alignment horizontal="center"/>
    </xf>
    <xf numFmtId="49" fontId="0" fillId="0" borderId="55" xfId="0" applyNumberFormat="1" applyBorder="1" applyAlignment="1">
      <alignment horizontal="center"/>
    </xf>
    <xf numFmtId="49" fontId="4" fillId="0" borderId="37" xfId="1" applyNumberFormat="1" applyFont="1" applyFill="1" applyBorder="1" applyAlignment="1">
      <alignment horizontal="center"/>
    </xf>
    <xf numFmtId="49" fontId="1" fillId="8" borderId="26" xfId="1" applyNumberFormat="1" applyFont="1" applyFill="1" applyBorder="1" applyAlignment="1">
      <alignment horizontal="left" vertical="center"/>
    </xf>
    <xf numFmtId="49" fontId="0" fillId="0" borderId="28" xfId="0" applyNumberFormat="1" applyBorder="1" applyAlignment="1">
      <alignment horizontal="center"/>
    </xf>
    <xf numFmtId="49" fontId="0" fillId="0" borderId="37" xfId="0" applyNumberFormat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64" fontId="3" fillId="7" borderId="14" xfId="0" applyNumberFormat="1" applyFont="1" applyFill="1" applyBorder="1" applyAlignment="1">
      <alignment horizontal="center"/>
    </xf>
    <xf numFmtId="44" fontId="3" fillId="7" borderId="15" xfId="1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3" fillId="7" borderId="32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left"/>
    </xf>
    <xf numFmtId="0" fontId="0" fillId="0" borderId="41" xfId="0" applyBorder="1" applyAlignment="1">
      <alignment horizontal="right"/>
    </xf>
    <xf numFmtId="0" fontId="0" fillId="0" borderId="41" xfId="0" applyBorder="1" applyAlignment="1">
      <alignment horizontal="center"/>
    </xf>
    <xf numFmtId="0" fontId="0" fillId="0" borderId="16" xfId="0" applyBorder="1" applyAlignment="1">
      <alignment horizontal="center"/>
    </xf>
    <xf numFmtId="43" fontId="0" fillId="0" borderId="16" xfId="5" applyFont="1" applyBorder="1" applyAlignment="1">
      <alignment horizontal="center" wrapText="1"/>
    </xf>
  </cellXfs>
  <cellStyles count="6">
    <cellStyle name="Millares" xfId="5" builtinId="3"/>
    <cellStyle name="Moneda" xfId="1" builtinId="4"/>
    <cellStyle name="Moneda 2" xfId="3"/>
    <cellStyle name="Normal" xfId="0" builtinId="0"/>
    <cellStyle name="Normal 2" xfId="4"/>
    <cellStyle name="Normal 3" xfId="2"/>
  </cellStyles>
  <dxfs count="7768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CCFF"/>
        </patternFill>
      </fill>
    </dxf>
    <dxf>
      <fill>
        <patternFill>
          <bgColor rgb="FFFFCC99"/>
        </patternFill>
      </fill>
    </dxf>
    <dxf>
      <fill>
        <patternFill>
          <bgColor rgb="FFC00000"/>
        </patternFill>
      </fill>
    </dxf>
    <dxf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99CCFF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7" tint="-0.24994659260841701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99"/>
        </patternFill>
      </fill>
    </dxf>
    <dxf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99CCFF"/>
        </patternFill>
      </fill>
    </dxf>
    <dxf>
      <fill>
        <patternFill>
          <bgColor rgb="FFFFCCCC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99"/>
        </patternFill>
      </fill>
    </dxf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99CCFF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99"/>
        </patternFill>
      </fill>
    </dxf>
    <dxf>
      <fill>
        <patternFill>
          <bgColor theme="7" tint="-0.24994659260841701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99CCFF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99CCFF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theme="7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FFCC99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99"/>
        </patternFill>
      </fill>
    </dxf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CCCCFF"/>
        </patternFill>
      </fill>
    </dxf>
    <dxf>
      <fill>
        <patternFill>
          <bgColor rgb="FF99CCFF"/>
        </patternFill>
      </fill>
    </dxf>
    <dxf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theme="7" tint="-0.24994659260841701"/>
        </patternFill>
      </fill>
    </dxf>
    <dxf>
      <fill>
        <patternFill>
          <bgColor rgb="FF99CCFF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CC"/>
        </patternFill>
      </fill>
    </dxf>
    <dxf>
      <fill>
        <patternFill>
          <bgColor rgb="FFC0000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99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rgb="FFCCCCFF"/>
        </patternFill>
      </fill>
    </dxf>
    <dxf>
      <fill>
        <patternFill>
          <bgColor rgb="FFC00000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CCCCFF"/>
        </patternFill>
      </fill>
    </dxf>
    <dxf>
      <fill>
        <patternFill>
          <bgColor rgb="FFFFCC99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99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CC"/>
        </patternFill>
      </fill>
    </dxf>
    <dxf>
      <fill>
        <patternFill>
          <bgColor rgb="FF99CCFF"/>
        </patternFill>
      </fill>
    </dxf>
    <dxf>
      <fill>
        <patternFill>
          <bgColor theme="9" tint="0.79998168889431442"/>
        </patternFill>
      </fill>
    </dxf>
    <dxf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C00000"/>
        </patternFill>
      </fill>
    </dxf>
    <dxf>
      <fill>
        <patternFill>
          <bgColor rgb="FFCC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99"/>
        </patternFill>
      </fill>
    </dxf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rgb="FF99CCFF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CC99"/>
        </patternFill>
      </fill>
    </dxf>
    <dxf>
      <fill>
        <patternFill>
          <bgColor rgb="FFFFCCCC"/>
        </patternFill>
      </fill>
    </dxf>
    <dxf>
      <fill>
        <patternFill>
          <bgColor rgb="FF99CCFF"/>
        </patternFill>
      </fill>
    </dxf>
    <dxf>
      <fill>
        <patternFill>
          <bgColor rgb="FFC00000"/>
        </patternFill>
      </fill>
    </dxf>
    <dxf>
      <fill>
        <patternFill>
          <bgColor rgb="FFCC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CCFF"/>
        </patternFill>
      </fill>
    </dxf>
    <dxf>
      <fill>
        <patternFill>
          <bgColor rgb="FFFFCC9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7D7D"/>
        </patternFill>
      </fill>
    </dxf>
    <dxf>
      <fill>
        <patternFill>
          <bgColor rgb="FFFF7C80"/>
        </patternFill>
      </fill>
    </dxf>
    <dxf>
      <fill>
        <patternFill>
          <bgColor rgb="FFAD4313"/>
        </patternFill>
      </fill>
    </dxf>
    <dxf>
      <fill>
        <patternFill>
          <bgColor rgb="FF33CC33"/>
        </patternFill>
      </fill>
    </dxf>
    <dxf>
      <fill>
        <patternFill>
          <bgColor rgb="FFFF9900"/>
        </patternFill>
      </fill>
    </dxf>
    <dxf>
      <fill>
        <patternFill>
          <bgColor rgb="FF6699FF"/>
        </patternFill>
      </fill>
    </dxf>
    <dxf>
      <fill>
        <patternFill>
          <bgColor rgb="FFF8410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-1540A]dd\ mmmm\,\ yyyy;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-1540A]dd\ mmmm\,\ yyyy;@"/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-1540A]dd\ mmmm\,\ yyyy;@"/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2" formatCode="&quot;$&quot;#,##0.00;[Red]\-&quot;$&quot;#,##0.0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numFmt numFmtId="165" formatCode="[$-1540A]dd\ mmmm\,\ yyyy;@"/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rgb="FFC00000"/>
        </patternFill>
      </fill>
    </dxf>
    <dxf>
      <fill>
        <patternFill>
          <bgColor rgb="FFFFCC99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99CCFF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CCCC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99FF"/>
        </patternFill>
      </fill>
    </dxf>
    <dxf>
      <fill>
        <patternFill>
          <bgColor rgb="FFFF7C80"/>
        </patternFill>
      </fill>
    </dxf>
    <dxf>
      <fill>
        <patternFill>
          <bgColor rgb="FF33CC33"/>
        </patternFill>
      </fill>
    </dxf>
    <dxf>
      <fill>
        <patternFill>
          <bgColor rgb="FFCC99FF"/>
        </patternFill>
      </fill>
    </dxf>
    <dxf>
      <fill>
        <patternFill>
          <bgColor rgb="FFAD4313"/>
        </patternFill>
      </fill>
    </dxf>
    <dxf>
      <fill>
        <patternFill>
          <bgColor rgb="FFF84108"/>
        </patternFill>
      </fill>
    </dxf>
    <dxf>
      <fill>
        <patternFill>
          <bgColor rgb="FFFF7D7D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33CC33"/>
        </patternFill>
      </fill>
    </dxf>
    <dxf>
      <fill>
        <patternFill>
          <bgColor rgb="FFF84108"/>
        </patternFill>
      </fill>
    </dxf>
    <dxf>
      <fill>
        <patternFill>
          <bgColor rgb="FFAD4313"/>
        </patternFill>
      </fill>
    </dxf>
    <dxf>
      <fill>
        <patternFill>
          <bgColor rgb="FFFF9900"/>
        </patternFill>
      </fill>
    </dxf>
    <dxf>
      <fill>
        <patternFill>
          <bgColor rgb="FF6699FF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CC99FF"/>
        </patternFill>
      </fill>
    </dxf>
    <dxf>
      <fill>
        <patternFill>
          <bgColor rgb="FFFF7D7D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rgb="FFCCCCFF"/>
        </patternFill>
      </fill>
    </dxf>
    <dxf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0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99CCFF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33CC3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33CC33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rgb="FFFFCC66"/>
        </patternFill>
      </fill>
    </dxf>
    <dxf>
      <fill>
        <patternFill>
          <bgColor rgb="FFCCCC00"/>
        </patternFill>
      </fill>
    </dxf>
    <dxf>
      <fill>
        <patternFill>
          <bgColor rgb="FF0066FF"/>
        </patternFill>
      </fill>
    </dxf>
    <dxf>
      <fill>
        <patternFill>
          <bgColor rgb="FFFF7C80"/>
        </patternFill>
      </fill>
    </dxf>
    <dxf>
      <fill>
        <patternFill>
          <bgColor rgb="FF66CCFF"/>
        </patternFill>
      </fill>
    </dxf>
    <dxf>
      <fill>
        <patternFill>
          <bgColor rgb="FFFF0066"/>
        </patternFill>
      </fill>
    </dxf>
    <dxf>
      <fill>
        <patternFill>
          <bgColor rgb="FFCCCC00"/>
        </patternFill>
      </fill>
    </dxf>
    <dxf>
      <fill>
        <patternFill>
          <bgColor rgb="FFFF0066"/>
        </patternFill>
      </fill>
    </dxf>
    <dxf>
      <fill>
        <patternFill>
          <bgColor rgb="FF0066FF"/>
        </patternFill>
      </fill>
    </dxf>
    <dxf>
      <fill>
        <patternFill>
          <bgColor rgb="FFFFCC66"/>
        </patternFill>
      </fill>
    </dxf>
    <dxf>
      <fill>
        <patternFill>
          <bgColor rgb="FFFF7C80"/>
        </patternFill>
      </fill>
    </dxf>
    <dxf>
      <fill>
        <patternFill>
          <bgColor rgb="FF66CCFF"/>
        </patternFill>
      </fill>
    </dxf>
    <dxf>
      <fill>
        <patternFill>
          <bgColor rgb="FFCCCCFF"/>
        </patternFill>
      </fill>
    </dxf>
  </dxfs>
  <tableStyles count="1" defaultTableStyle="TableStyleMedium2" defaultPivotStyle="PivotStyleLight16">
    <tableStyle name="Invisible" pivot="0" table="0" count="0"/>
  </tableStyles>
  <colors>
    <mruColors>
      <color rgb="FF33CC33"/>
      <color rgb="FFF84108"/>
      <color rgb="FFFF7D7D"/>
      <color rgb="FFAD4313"/>
      <color rgb="FFFF9900"/>
      <color rgb="FF6699FF"/>
      <color rgb="FFFF7C80"/>
      <color rgb="FFCC99FF"/>
      <color rgb="FFFF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1" displayName="Tabla1" ref="A1:M51" totalsRowShown="0" headerRowDxfId="7621" dataDxfId="7620" tableBorderDxfId="7619">
  <autoFilter ref="A1:M51"/>
  <tableColumns count="13">
    <tableColumn id="1" name="PUERTO / ADUANA" dataDxfId="7618"/>
    <tableColumn id="2" name="ITEM" dataDxfId="7617"/>
    <tableColumn id="3" name="PROVEEDOR" dataDxfId="7616"/>
    <tableColumn id="13" name="PO:" dataDxfId="7615"/>
    <tableColumn id="4" name="No. FACTURA" dataDxfId="7614"/>
    <tableColumn id="5" name="INCOTERM" dataDxfId="7613"/>
    <tableColumn id="6" name=" VALOR FACTURA " dataDxfId="7612" dataCellStyle="Moneda"/>
    <tableColumn id="15" name="MONEDA" dataDxfId="7611" dataCellStyle="Moneda"/>
    <tableColumn id="8" name="ETD ORIGEN" dataDxfId="7610"/>
    <tableColumn id="9" name="ETA ADUANA" dataDxfId="7609"/>
    <tableColumn id="10" name="STATUS" dataDxfId="7608"/>
    <tableColumn id="11" name="ETA PLANTA" dataDxfId="7607"/>
    <tableColumn id="12" name="COMENTARIOS" dataDxfId="760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7"/>
  <sheetViews>
    <sheetView workbookViewId="0">
      <selection activeCell="C10" sqref="C10"/>
    </sheetView>
  </sheetViews>
  <sheetFormatPr baseColWidth="10" defaultRowHeight="15" x14ac:dyDescent="0.25"/>
  <cols>
    <col min="5" max="5" width="28.85546875" bestFit="1" customWidth="1"/>
    <col min="6" max="6" width="15.140625" bestFit="1" customWidth="1"/>
    <col min="7" max="7" width="16.140625" bestFit="1" customWidth="1"/>
  </cols>
  <sheetData>
    <row r="1" spans="1:101" s="1" customFormat="1" ht="30.75" thickBot="1" x14ac:dyDescent="0.3">
      <c r="A1" s="4" t="s">
        <v>0</v>
      </c>
      <c r="B1" s="5" t="s">
        <v>47</v>
      </c>
      <c r="C1" s="6" t="s">
        <v>38</v>
      </c>
      <c r="D1" s="6" t="s">
        <v>37</v>
      </c>
      <c r="E1" s="7" t="s">
        <v>42</v>
      </c>
      <c r="F1" s="4" t="s">
        <v>89</v>
      </c>
      <c r="G1" s="8" t="s">
        <v>11</v>
      </c>
      <c r="H1" s="9" t="s">
        <v>92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x14ac:dyDescent="0.25">
      <c r="A2" t="s">
        <v>48</v>
      </c>
      <c r="B2" s="10" t="s">
        <v>60</v>
      </c>
      <c r="C2" t="s">
        <v>65</v>
      </c>
      <c r="D2" t="s">
        <v>28</v>
      </c>
      <c r="E2" t="s">
        <v>85</v>
      </c>
      <c r="F2" t="s">
        <v>24</v>
      </c>
      <c r="G2" t="s">
        <v>90</v>
      </c>
      <c r="H2" t="s">
        <v>24</v>
      </c>
    </row>
    <row r="3" spans="1:101" x14ac:dyDescent="0.25">
      <c r="A3" t="s">
        <v>49</v>
      </c>
      <c r="B3" s="10" t="s">
        <v>97</v>
      </c>
      <c r="C3" t="s">
        <v>66</v>
      </c>
      <c r="D3" t="s">
        <v>71</v>
      </c>
      <c r="E3" t="s">
        <v>87</v>
      </c>
      <c r="F3" t="s">
        <v>88</v>
      </c>
      <c r="G3" t="s">
        <v>27</v>
      </c>
      <c r="H3" t="s">
        <v>93</v>
      </c>
    </row>
    <row r="4" spans="1:101" x14ac:dyDescent="0.25">
      <c r="A4" t="s">
        <v>50</v>
      </c>
      <c r="B4" s="10" t="s">
        <v>61</v>
      </c>
      <c r="C4" t="s">
        <v>67</v>
      </c>
      <c r="D4" t="s">
        <v>72</v>
      </c>
      <c r="E4" t="s">
        <v>86</v>
      </c>
      <c r="F4" t="s">
        <v>103</v>
      </c>
      <c r="G4" t="s">
        <v>91</v>
      </c>
    </row>
    <row r="5" spans="1:101" x14ac:dyDescent="0.25">
      <c r="A5" t="s">
        <v>51</v>
      </c>
      <c r="B5" s="10" t="s">
        <v>26</v>
      </c>
      <c r="C5" t="s">
        <v>68</v>
      </c>
      <c r="E5" t="s">
        <v>84</v>
      </c>
      <c r="F5" t="s">
        <v>30</v>
      </c>
      <c r="G5" t="s">
        <v>96</v>
      </c>
    </row>
    <row r="6" spans="1:101" x14ac:dyDescent="0.25">
      <c r="A6" t="s">
        <v>52</v>
      </c>
      <c r="B6" t="s">
        <v>62</v>
      </c>
      <c r="C6" t="s">
        <v>69</v>
      </c>
      <c r="E6" t="s">
        <v>76</v>
      </c>
      <c r="F6" t="s">
        <v>27</v>
      </c>
    </row>
    <row r="7" spans="1:101" x14ac:dyDescent="0.25">
      <c r="A7" t="s">
        <v>53</v>
      </c>
      <c r="B7" t="s">
        <v>63</v>
      </c>
      <c r="C7" t="s">
        <v>70</v>
      </c>
      <c r="E7" t="s">
        <v>75</v>
      </c>
      <c r="F7" t="s">
        <v>34</v>
      </c>
    </row>
    <row r="8" spans="1:101" x14ac:dyDescent="0.25">
      <c r="A8" t="s">
        <v>54</v>
      </c>
      <c r="B8" t="s">
        <v>64</v>
      </c>
      <c r="C8" t="s">
        <v>94</v>
      </c>
      <c r="E8" t="s">
        <v>82</v>
      </c>
      <c r="F8" t="s">
        <v>95</v>
      </c>
    </row>
    <row r="9" spans="1:101" x14ac:dyDescent="0.25">
      <c r="A9" t="s">
        <v>55</v>
      </c>
      <c r="E9" t="s">
        <v>81</v>
      </c>
    </row>
    <row r="10" spans="1:101" x14ac:dyDescent="0.25">
      <c r="A10" t="s">
        <v>56</v>
      </c>
      <c r="E10" t="s">
        <v>74</v>
      </c>
    </row>
    <row r="11" spans="1:101" x14ac:dyDescent="0.25">
      <c r="A11" t="s">
        <v>57</v>
      </c>
      <c r="E11" t="s">
        <v>83</v>
      </c>
    </row>
    <row r="12" spans="1:101" x14ac:dyDescent="0.25">
      <c r="A12" t="s">
        <v>58</v>
      </c>
      <c r="E12" t="s">
        <v>80</v>
      </c>
    </row>
    <row r="13" spans="1:101" x14ac:dyDescent="0.25">
      <c r="A13" t="s">
        <v>59</v>
      </c>
      <c r="E13" t="s">
        <v>78</v>
      </c>
    </row>
    <row r="14" spans="1:101" x14ac:dyDescent="0.25">
      <c r="E14" t="s">
        <v>79</v>
      </c>
    </row>
    <row r="15" spans="1:101" x14ac:dyDescent="0.25">
      <c r="E15" t="s">
        <v>77</v>
      </c>
    </row>
    <row r="16" spans="1:101" x14ac:dyDescent="0.25">
      <c r="E16" t="s">
        <v>117</v>
      </c>
    </row>
    <row r="17" spans="5:5" x14ac:dyDescent="0.25">
      <c r="E1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83"/>
  <sheetViews>
    <sheetView topLeftCell="D10" zoomScale="70" zoomScaleNormal="70" workbookViewId="0">
      <selection activeCell="N12" sqref="N12"/>
    </sheetView>
  </sheetViews>
  <sheetFormatPr baseColWidth="10" defaultColWidth="12.5703125" defaultRowHeight="15" x14ac:dyDescent="0.25"/>
  <cols>
    <col min="1" max="1" width="14" style="45" bestFit="1" customWidth="1"/>
    <col min="2" max="2" width="12.140625" style="148" bestFit="1" customWidth="1"/>
    <col min="3" max="3" width="19.85546875" style="45" bestFit="1" customWidth="1"/>
    <col min="4" max="4" width="11" style="45" customWidth="1"/>
    <col min="5" max="5" width="26.5703125" style="57" bestFit="1" customWidth="1"/>
    <col min="6" max="6" width="11.5703125" style="148" customWidth="1"/>
    <col min="7" max="7" width="12.5703125" style="56" customWidth="1"/>
    <col min="8" max="8" width="11.5703125" style="148" bestFit="1" customWidth="1"/>
    <col min="9" max="9" width="22" style="149" bestFit="1" customWidth="1"/>
    <col min="10" max="10" width="21.140625" style="149" bestFit="1" customWidth="1"/>
    <col min="11" max="11" width="28.42578125" style="45" bestFit="1" customWidth="1"/>
    <col min="12" max="12" width="17.85546875" style="45" bestFit="1" customWidth="1"/>
    <col min="13" max="13" width="52.42578125" style="45" bestFit="1" customWidth="1"/>
    <col min="14" max="16384" width="12.5703125" style="45"/>
  </cols>
  <sheetData>
    <row r="1" spans="1:13" s="148" customFormat="1" ht="30" x14ac:dyDescent="0.25">
      <c r="A1" s="150" t="s">
        <v>100</v>
      </c>
      <c r="B1" s="150" t="s">
        <v>290</v>
      </c>
      <c r="C1" s="165" t="s">
        <v>101</v>
      </c>
      <c r="D1" s="165" t="s">
        <v>392</v>
      </c>
      <c r="E1" s="165" t="s">
        <v>102</v>
      </c>
      <c r="F1" s="165" t="s">
        <v>287</v>
      </c>
      <c r="G1" s="166" t="s">
        <v>300</v>
      </c>
      <c r="H1" s="167" t="s">
        <v>307</v>
      </c>
      <c r="I1" s="168" t="s">
        <v>170</v>
      </c>
      <c r="J1" s="168" t="s">
        <v>289</v>
      </c>
      <c r="K1" s="169" t="s">
        <v>42</v>
      </c>
      <c r="L1" s="168" t="s">
        <v>40</v>
      </c>
      <c r="M1" s="170" t="s">
        <v>29</v>
      </c>
    </row>
    <row r="2" spans="1:13" x14ac:dyDescent="0.25">
      <c r="A2" s="11" t="s">
        <v>66</v>
      </c>
      <c r="B2" s="18" t="s">
        <v>61</v>
      </c>
      <c r="C2" s="157" t="s">
        <v>279</v>
      </c>
      <c r="D2" s="158">
        <v>4700065224</v>
      </c>
      <c r="E2" s="159" t="s">
        <v>430</v>
      </c>
      <c r="F2" s="160" t="s">
        <v>288</v>
      </c>
      <c r="G2" s="235">
        <v>33179.72</v>
      </c>
      <c r="H2" s="162" t="s">
        <v>71</v>
      </c>
      <c r="I2" s="163" t="s">
        <v>491</v>
      </c>
      <c r="J2" s="163" t="s">
        <v>484</v>
      </c>
      <c r="K2" s="11" t="s">
        <v>83</v>
      </c>
      <c r="L2" s="164" t="s">
        <v>99</v>
      </c>
      <c r="M2" s="91" t="s">
        <v>439</v>
      </c>
    </row>
    <row r="3" spans="1:13" x14ac:dyDescent="0.25">
      <c r="A3" s="11" t="s">
        <v>66</v>
      </c>
      <c r="B3" s="18" t="s">
        <v>61</v>
      </c>
      <c r="C3" s="236" t="s">
        <v>280</v>
      </c>
      <c r="D3" s="237">
        <v>4700065229</v>
      </c>
      <c r="E3" s="159" t="s">
        <v>431</v>
      </c>
      <c r="F3" s="160" t="s">
        <v>288</v>
      </c>
      <c r="G3" s="242">
        <v>33819.9</v>
      </c>
      <c r="H3" s="239" t="s">
        <v>71</v>
      </c>
      <c r="I3" s="240" t="s">
        <v>491</v>
      </c>
      <c r="J3" s="240" t="s">
        <v>484</v>
      </c>
      <c r="K3" s="11" t="s">
        <v>83</v>
      </c>
      <c r="L3" s="241" t="s">
        <v>99</v>
      </c>
      <c r="M3" s="91"/>
    </row>
    <row r="4" spans="1:13" x14ac:dyDescent="0.25">
      <c r="A4" s="11" t="s">
        <v>66</v>
      </c>
      <c r="B4" s="18" t="s">
        <v>61</v>
      </c>
      <c r="C4" s="157" t="s">
        <v>277</v>
      </c>
      <c r="D4" s="158">
        <v>4700065226</v>
      </c>
      <c r="E4" s="159" t="s">
        <v>440</v>
      </c>
      <c r="F4" s="160" t="s">
        <v>288</v>
      </c>
      <c r="G4" s="235">
        <v>33900.78</v>
      </c>
      <c r="H4" s="162" t="s">
        <v>71</v>
      </c>
      <c r="I4" s="163" t="s">
        <v>492</v>
      </c>
      <c r="J4" s="163" t="s">
        <v>493</v>
      </c>
      <c r="K4" s="11" t="s">
        <v>76</v>
      </c>
      <c r="L4" s="164" t="s">
        <v>99</v>
      </c>
      <c r="M4" s="91"/>
    </row>
    <row r="5" spans="1:13" x14ac:dyDescent="0.25">
      <c r="A5" s="11" t="s">
        <v>66</v>
      </c>
      <c r="B5" s="18" t="s">
        <v>61</v>
      </c>
      <c r="C5" s="236" t="s">
        <v>281</v>
      </c>
      <c r="D5" s="237">
        <v>4700065223</v>
      </c>
      <c r="E5" s="159" t="s">
        <v>446</v>
      </c>
      <c r="F5" s="160" t="s">
        <v>288</v>
      </c>
      <c r="G5" s="242">
        <v>30862.639999999999</v>
      </c>
      <c r="H5" s="239" t="s">
        <v>71</v>
      </c>
      <c r="I5" s="240" t="s">
        <v>492</v>
      </c>
      <c r="J5" s="240" t="s">
        <v>493</v>
      </c>
      <c r="K5" s="11" t="s">
        <v>76</v>
      </c>
      <c r="L5" s="241" t="s">
        <v>99</v>
      </c>
      <c r="M5" s="11"/>
    </row>
    <row r="6" spans="1:13" x14ac:dyDescent="0.25">
      <c r="A6" s="11" t="s">
        <v>66</v>
      </c>
      <c r="B6" s="18" t="s">
        <v>60</v>
      </c>
      <c r="C6" s="157" t="s">
        <v>406</v>
      </c>
      <c r="D6" s="158" t="s">
        <v>407</v>
      </c>
      <c r="E6" s="159" t="s">
        <v>408</v>
      </c>
      <c r="F6" s="160" t="s">
        <v>291</v>
      </c>
      <c r="G6" s="235">
        <v>111100</v>
      </c>
      <c r="H6" s="162" t="s">
        <v>71</v>
      </c>
      <c r="I6" s="163" t="s">
        <v>494</v>
      </c>
      <c r="J6" s="163" t="s">
        <v>495</v>
      </c>
      <c r="K6" s="11" t="s">
        <v>76</v>
      </c>
      <c r="L6" s="164" t="s">
        <v>99</v>
      </c>
      <c r="M6" s="11"/>
    </row>
    <row r="7" spans="1:13" x14ac:dyDescent="0.25">
      <c r="A7" s="11" t="s">
        <v>66</v>
      </c>
      <c r="B7" s="18" t="s">
        <v>61</v>
      </c>
      <c r="C7" s="157" t="s">
        <v>282</v>
      </c>
      <c r="D7" s="158">
        <v>4700065236</v>
      </c>
      <c r="E7" s="159" t="s">
        <v>98</v>
      </c>
      <c r="F7" s="160" t="s">
        <v>288</v>
      </c>
      <c r="G7" s="161" t="s">
        <v>496</v>
      </c>
      <c r="H7" s="155" t="s">
        <v>71</v>
      </c>
      <c r="I7" s="163" t="s">
        <v>497</v>
      </c>
      <c r="J7" s="163" t="s">
        <v>498</v>
      </c>
      <c r="K7" s="11" t="s">
        <v>85</v>
      </c>
      <c r="L7" s="164" t="s">
        <v>99</v>
      </c>
      <c r="M7" s="91" t="s">
        <v>479</v>
      </c>
    </row>
    <row r="8" spans="1:13" x14ac:dyDescent="0.25">
      <c r="A8" s="11" t="s">
        <v>66</v>
      </c>
      <c r="B8" s="18" t="s">
        <v>61</v>
      </c>
      <c r="C8" s="236" t="s">
        <v>415</v>
      </c>
      <c r="D8" s="159" t="s">
        <v>157</v>
      </c>
      <c r="E8" s="159" t="s">
        <v>98</v>
      </c>
      <c r="F8" s="160" t="s">
        <v>288</v>
      </c>
      <c r="G8" s="242" t="s">
        <v>496</v>
      </c>
      <c r="H8" s="239" t="s">
        <v>71</v>
      </c>
      <c r="I8" s="240" t="s">
        <v>492</v>
      </c>
      <c r="J8" s="240" t="s">
        <v>487</v>
      </c>
      <c r="K8" s="11" t="s">
        <v>76</v>
      </c>
      <c r="L8" s="241" t="s">
        <v>99</v>
      </c>
      <c r="M8" s="11" t="s">
        <v>450</v>
      </c>
    </row>
    <row r="9" spans="1:13" x14ac:dyDescent="0.25">
      <c r="A9" s="11" t="s">
        <v>66</v>
      </c>
      <c r="B9" s="18" t="s">
        <v>61</v>
      </c>
      <c r="C9" s="236" t="s">
        <v>283</v>
      </c>
      <c r="D9" s="237">
        <v>4700065227</v>
      </c>
      <c r="E9" s="159" t="s">
        <v>98</v>
      </c>
      <c r="F9" s="160" t="s">
        <v>288</v>
      </c>
      <c r="G9" s="238" t="s">
        <v>496</v>
      </c>
      <c r="H9" s="239" t="s">
        <v>71</v>
      </c>
      <c r="I9" s="240"/>
      <c r="J9" s="240" t="s">
        <v>99</v>
      </c>
      <c r="K9" s="11" t="s">
        <v>85</v>
      </c>
      <c r="L9" s="241" t="s">
        <v>99</v>
      </c>
      <c r="M9" s="91" t="s">
        <v>479</v>
      </c>
    </row>
    <row r="10" spans="1:13" x14ac:dyDescent="0.25">
      <c r="A10" s="11" t="s">
        <v>66</v>
      </c>
      <c r="B10" s="18" t="s">
        <v>61</v>
      </c>
      <c r="C10" s="236" t="s">
        <v>284</v>
      </c>
      <c r="D10" s="237">
        <v>4700065228</v>
      </c>
      <c r="E10" s="159" t="s">
        <v>98</v>
      </c>
      <c r="F10" s="160" t="s">
        <v>288</v>
      </c>
      <c r="G10" s="238" t="s">
        <v>496</v>
      </c>
      <c r="H10" s="239" t="s">
        <v>71</v>
      </c>
      <c r="I10" s="240"/>
      <c r="J10" s="240" t="s">
        <v>99</v>
      </c>
      <c r="K10" s="11" t="s">
        <v>85</v>
      </c>
      <c r="L10" s="241" t="s">
        <v>99</v>
      </c>
      <c r="M10" s="91" t="s">
        <v>479</v>
      </c>
    </row>
    <row r="11" spans="1:13" x14ac:dyDescent="0.25">
      <c r="A11" s="11" t="s">
        <v>66</v>
      </c>
      <c r="B11" s="18" t="s">
        <v>61</v>
      </c>
      <c r="C11" s="236" t="s">
        <v>285</v>
      </c>
      <c r="D11" s="237">
        <v>4700066282</v>
      </c>
      <c r="E11" s="159" t="s">
        <v>98</v>
      </c>
      <c r="F11" s="160" t="s">
        <v>288</v>
      </c>
      <c r="G11" s="238" t="s">
        <v>496</v>
      </c>
      <c r="H11" s="239" t="s">
        <v>71</v>
      </c>
      <c r="I11" s="240"/>
      <c r="J11" s="240" t="s">
        <v>99</v>
      </c>
      <c r="K11" s="11" t="s">
        <v>85</v>
      </c>
      <c r="L11" s="241" t="s">
        <v>99</v>
      </c>
      <c r="M11" s="14" t="s">
        <v>400</v>
      </c>
    </row>
    <row r="12" spans="1:13" x14ac:dyDescent="0.25">
      <c r="A12" s="11" t="s">
        <v>66</v>
      </c>
      <c r="B12" s="18" t="s">
        <v>61</v>
      </c>
      <c r="C12" s="236" t="s">
        <v>286</v>
      </c>
      <c r="D12" s="237">
        <v>4700066165</v>
      </c>
      <c r="E12" s="159" t="s">
        <v>98</v>
      </c>
      <c r="F12" s="160" t="s">
        <v>288</v>
      </c>
      <c r="G12" s="238" t="s">
        <v>496</v>
      </c>
      <c r="H12" s="239" t="s">
        <v>71</v>
      </c>
      <c r="I12" s="240"/>
      <c r="J12" s="240" t="s">
        <v>99</v>
      </c>
      <c r="K12" s="11" t="s">
        <v>85</v>
      </c>
      <c r="L12" s="241" t="s">
        <v>99</v>
      </c>
      <c r="M12" s="14" t="s">
        <v>401</v>
      </c>
    </row>
    <row r="13" spans="1:13" x14ac:dyDescent="0.25">
      <c r="A13" s="11" t="s">
        <v>66</v>
      </c>
      <c r="B13" s="18" t="s">
        <v>61</v>
      </c>
      <c r="C13" s="236" t="s">
        <v>396</v>
      </c>
      <c r="D13" s="237">
        <v>4700066284</v>
      </c>
      <c r="E13" s="159" t="s">
        <v>98</v>
      </c>
      <c r="F13" s="160" t="s">
        <v>288</v>
      </c>
      <c r="G13" s="238" t="s">
        <v>496</v>
      </c>
      <c r="H13" s="239" t="s">
        <v>71</v>
      </c>
      <c r="I13" s="240"/>
      <c r="J13" s="240" t="s">
        <v>99</v>
      </c>
      <c r="K13" s="11" t="s">
        <v>85</v>
      </c>
      <c r="L13" s="241" t="s">
        <v>99</v>
      </c>
      <c r="M13" s="14" t="s">
        <v>402</v>
      </c>
    </row>
    <row r="14" spans="1:13" x14ac:dyDescent="0.25">
      <c r="A14" s="11" t="s">
        <v>66</v>
      </c>
      <c r="B14" s="18" t="s">
        <v>61</v>
      </c>
      <c r="C14" s="236" t="s">
        <v>397</v>
      </c>
      <c r="D14" s="237">
        <v>4700066283</v>
      </c>
      <c r="E14" s="159" t="s">
        <v>98</v>
      </c>
      <c r="F14" s="160" t="s">
        <v>288</v>
      </c>
      <c r="G14" s="238" t="s">
        <v>496</v>
      </c>
      <c r="H14" s="239" t="s">
        <v>71</v>
      </c>
      <c r="I14" s="240"/>
      <c r="J14" s="240" t="s">
        <v>99</v>
      </c>
      <c r="K14" s="11" t="s">
        <v>85</v>
      </c>
      <c r="L14" s="241" t="s">
        <v>99</v>
      </c>
      <c r="M14" s="14" t="s">
        <v>403</v>
      </c>
    </row>
    <row r="15" spans="1:13" x14ac:dyDescent="0.25">
      <c r="A15" s="11" t="s">
        <v>66</v>
      </c>
      <c r="B15" s="18" t="s">
        <v>61</v>
      </c>
      <c r="C15" s="236" t="s">
        <v>398</v>
      </c>
      <c r="D15" s="237">
        <v>4700066285</v>
      </c>
      <c r="E15" s="159" t="s">
        <v>98</v>
      </c>
      <c r="F15" s="160" t="s">
        <v>288</v>
      </c>
      <c r="G15" s="242" t="s">
        <v>496</v>
      </c>
      <c r="H15" s="239" t="s">
        <v>71</v>
      </c>
      <c r="I15" s="240"/>
      <c r="J15" s="240" t="s">
        <v>99</v>
      </c>
      <c r="K15" s="11" t="s">
        <v>85</v>
      </c>
      <c r="L15" s="241" t="s">
        <v>99</v>
      </c>
      <c r="M15" s="14" t="s">
        <v>404</v>
      </c>
    </row>
    <row r="16" spans="1:13" x14ac:dyDescent="0.25">
      <c r="A16" s="11" t="s">
        <v>66</v>
      </c>
      <c r="B16" s="18" t="s">
        <v>61</v>
      </c>
      <c r="C16" s="236" t="s">
        <v>399</v>
      </c>
      <c r="D16" s="237">
        <v>4700066286</v>
      </c>
      <c r="E16" s="159" t="s">
        <v>98</v>
      </c>
      <c r="F16" s="160" t="s">
        <v>288</v>
      </c>
      <c r="G16" s="242" t="s">
        <v>496</v>
      </c>
      <c r="H16" s="239" t="s">
        <v>71</v>
      </c>
      <c r="I16" s="240"/>
      <c r="J16" s="240" t="s">
        <v>99</v>
      </c>
      <c r="K16" s="11" t="s">
        <v>85</v>
      </c>
      <c r="L16" s="241" t="s">
        <v>99</v>
      </c>
      <c r="M16" s="14" t="s">
        <v>405</v>
      </c>
    </row>
    <row r="17" spans="1:13" x14ac:dyDescent="0.25">
      <c r="A17" s="11" t="s">
        <v>127</v>
      </c>
      <c r="B17" s="18" t="s">
        <v>60</v>
      </c>
      <c r="C17" s="236" t="s">
        <v>330</v>
      </c>
      <c r="D17" s="237">
        <v>4700066290</v>
      </c>
      <c r="E17" s="159">
        <v>8425687</v>
      </c>
      <c r="F17" s="160" t="s">
        <v>292</v>
      </c>
      <c r="G17" s="242">
        <v>12244.81</v>
      </c>
      <c r="H17" s="239" t="s">
        <v>71</v>
      </c>
      <c r="I17" s="240" t="s">
        <v>499</v>
      </c>
      <c r="J17" s="240" t="s">
        <v>500</v>
      </c>
      <c r="K17" s="11" t="s">
        <v>73</v>
      </c>
      <c r="L17" s="241" t="s">
        <v>485</v>
      </c>
      <c r="M17" s="11"/>
    </row>
    <row r="18" spans="1:13" x14ac:dyDescent="0.25">
      <c r="A18" s="11" t="s">
        <v>127</v>
      </c>
      <c r="B18" s="18" t="s">
        <v>60</v>
      </c>
      <c r="C18" s="236" t="s">
        <v>305</v>
      </c>
      <c r="D18" s="237">
        <v>4700066052</v>
      </c>
      <c r="E18" s="159" t="s">
        <v>98</v>
      </c>
      <c r="F18" s="160" t="s">
        <v>292</v>
      </c>
      <c r="G18" s="242" t="s">
        <v>496</v>
      </c>
      <c r="H18" s="239" t="s">
        <v>71</v>
      </c>
      <c r="I18" s="240" t="s">
        <v>485</v>
      </c>
      <c r="J18" s="240" t="s">
        <v>501</v>
      </c>
      <c r="K18" s="11" t="s">
        <v>86</v>
      </c>
      <c r="L18" s="241" t="s">
        <v>99</v>
      </c>
      <c r="M18" s="11"/>
    </row>
    <row r="19" spans="1:13" x14ac:dyDescent="0.25">
      <c r="A19" s="11" t="s">
        <v>127</v>
      </c>
      <c r="B19" s="18" t="s">
        <v>60</v>
      </c>
      <c r="C19" s="236" t="s">
        <v>306</v>
      </c>
      <c r="D19" s="237">
        <v>4700066126</v>
      </c>
      <c r="E19" s="159">
        <v>57906103</v>
      </c>
      <c r="F19" s="160" t="s">
        <v>292</v>
      </c>
      <c r="G19" s="242">
        <v>6770</v>
      </c>
      <c r="H19" s="239" t="s">
        <v>71</v>
      </c>
      <c r="I19" s="240" t="s">
        <v>309</v>
      </c>
      <c r="J19" s="240" t="s">
        <v>99</v>
      </c>
      <c r="K19" s="11" t="s">
        <v>86</v>
      </c>
      <c r="L19" s="241" t="s">
        <v>99</v>
      </c>
      <c r="M19" s="11"/>
    </row>
    <row r="20" spans="1:13" x14ac:dyDescent="0.25">
      <c r="A20" s="11" t="s">
        <v>127</v>
      </c>
      <c r="B20" s="18" t="s">
        <v>61</v>
      </c>
      <c r="C20" s="236" t="s">
        <v>249</v>
      </c>
      <c r="D20" s="237" t="s">
        <v>304</v>
      </c>
      <c r="E20" s="159" t="s">
        <v>98</v>
      </c>
      <c r="F20" s="160" t="s">
        <v>292</v>
      </c>
      <c r="G20" s="242">
        <v>42000</v>
      </c>
      <c r="H20" s="239" t="s">
        <v>71</v>
      </c>
      <c r="I20" s="240" t="s">
        <v>309</v>
      </c>
      <c r="J20" s="240" t="s">
        <v>99</v>
      </c>
      <c r="K20" s="11" t="s">
        <v>87</v>
      </c>
      <c r="L20" s="241" t="s">
        <v>99</v>
      </c>
      <c r="M20" s="14" t="s">
        <v>479</v>
      </c>
    </row>
    <row r="21" spans="1:13" x14ac:dyDescent="0.25">
      <c r="A21" s="11" t="s">
        <v>127</v>
      </c>
      <c r="B21" s="18" t="s">
        <v>60</v>
      </c>
      <c r="C21" s="157" t="s">
        <v>475</v>
      </c>
      <c r="D21" s="158">
        <v>4700066596</v>
      </c>
      <c r="E21" s="159" t="s">
        <v>98</v>
      </c>
      <c r="F21" s="160" t="s">
        <v>292</v>
      </c>
      <c r="G21" s="235" t="s">
        <v>496</v>
      </c>
      <c r="H21" s="162" t="s">
        <v>71</v>
      </c>
      <c r="I21" s="163" t="s">
        <v>309</v>
      </c>
      <c r="J21" s="163" t="s">
        <v>99</v>
      </c>
      <c r="K21" s="11" t="s">
        <v>87</v>
      </c>
      <c r="L21" s="164" t="s">
        <v>99</v>
      </c>
      <c r="M21" s="14" t="s">
        <v>476</v>
      </c>
    </row>
    <row r="22" spans="1:13" x14ac:dyDescent="0.25">
      <c r="A22" s="11" t="s">
        <v>127</v>
      </c>
      <c r="B22" s="18" t="s">
        <v>60</v>
      </c>
      <c r="C22" s="157" t="s">
        <v>477</v>
      </c>
      <c r="D22" s="158">
        <v>4700065951</v>
      </c>
      <c r="E22" s="159">
        <v>57906103</v>
      </c>
      <c r="F22" s="160" t="s">
        <v>292</v>
      </c>
      <c r="G22" s="235">
        <v>6770</v>
      </c>
      <c r="H22" s="162" t="s">
        <v>71</v>
      </c>
      <c r="I22" s="163" t="s">
        <v>309</v>
      </c>
      <c r="J22" s="163" t="s">
        <v>99</v>
      </c>
      <c r="K22" s="11" t="s">
        <v>86</v>
      </c>
      <c r="L22" s="164" t="s">
        <v>99</v>
      </c>
      <c r="M22" s="14" t="s">
        <v>478</v>
      </c>
    </row>
    <row r="23" spans="1:13" x14ac:dyDescent="0.25">
      <c r="A23" s="11" t="s">
        <v>65</v>
      </c>
      <c r="B23" s="18" t="s">
        <v>60</v>
      </c>
      <c r="C23" s="236" t="s">
        <v>375</v>
      </c>
      <c r="D23" s="237">
        <v>4700065401</v>
      </c>
      <c r="E23" s="159">
        <v>1</v>
      </c>
      <c r="F23" s="160" t="s">
        <v>377</v>
      </c>
      <c r="G23" s="242">
        <v>47040</v>
      </c>
      <c r="H23" s="239" t="s">
        <v>72</v>
      </c>
      <c r="I23" s="240" t="s">
        <v>502</v>
      </c>
      <c r="J23" s="240" t="s">
        <v>503</v>
      </c>
      <c r="K23" s="11" t="s">
        <v>73</v>
      </c>
      <c r="L23" s="241" t="s">
        <v>500</v>
      </c>
      <c r="M23" s="11"/>
    </row>
    <row r="24" spans="1:13" x14ac:dyDescent="0.25">
      <c r="A24" s="11" t="s">
        <v>65</v>
      </c>
      <c r="B24" s="18" t="s">
        <v>97</v>
      </c>
      <c r="C24" s="236" t="s">
        <v>276</v>
      </c>
      <c r="D24" s="158" t="s">
        <v>157</v>
      </c>
      <c r="E24" s="159">
        <v>10000054</v>
      </c>
      <c r="F24" s="160" t="s">
        <v>291</v>
      </c>
      <c r="G24" s="242">
        <v>164146.66</v>
      </c>
      <c r="H24" s="239" t="s">
        <v>71</v>
      </c>
      <c r="I24" s="240" t="s">
        <v>504</v>
      </c>
      <c r="J24" s="240" t="s">
        <v>483</v>
      </c>
      <c r="K24" s="11" t="s">
        <v>117</v>
      </c>
      <c r="L24" s="241" t="s">
        <v>495</v>
      </c>
      <c r="M24" s="11"/>
    </row>
    <row r="25" spans="1:13" x14ac:dyDescent="0.25">
      <c r="A25" s="11" t="s">
        <v>65</v>
      </c>
      <c r="B25" s="18" t="s">
        <v>60</v>
      </c>
      <c r="C25" s="236" t="s">
        <v>269</v>
      </c>
      <c r="D25" s="237">
        <v>4700065458</v>
      </c>
      <c r="E25" s="159" t="s">
        <v>328</v>
      </c>
      <c r="F25" s="160" t="s">
        <v>292</v>
      </c>
      <c r="G25" s="242">
        <v>51800</v>
      </c>
      <c r="H25" s="239" t="s">
        <v>72</v>
      </c>
      <c r="I25" s="240" t="s">
        <v>505</v>
      </c>
      <c r="J25" s="240" t="s">
        <v>506</v>
      </c>
      <c r="K25" s="11" t="s">
        <v>76</v>
      </c>
      <c r="L25" s="241" t="s">
        <v>99</v>
      </c>
      <c r="M25" s="11" t="s">
        <v>443</v>
      </c>
    </row>
    <row r="26" spans="1:13" x14ac:dyDescent="0.25">
      <c r="A26" s="11" t="s">
        <v>65</v>
      </c>
      <c r="B26" s="18" t="s">
        <v>61</v>
      </c>
      <c r="C26" s="157" t="s">
        <v>235</v>
      </c>
      <c r="D26" s="158">
        <v>4700063014</v>
      </c>
      <c r="E26" s="159">
        <v>43777</v>
      </c>
      <c r="F26" s="160" t="s">
        <v>291</v>
      </c>
      <c r="G26" s="58">
        <v>28447.4</v>
      </c>
      <c r="H26" s="155" t="s">
        <v>71</v>
      </c>
      <c r="I26" s="163" t="s">
        <v>507</v>
      </c>
      <c r="J26" s="163" t="s">
        <v>508</v>
      </c>
      <c r="K26" s="11" t="s">
        <v>76</v>
      </c>
      <c r="L26" s="164" t="s">
        <v>99</v>
      </c>
      <c r="M26" s="11" t="s">
        <v>390</v>
      </c>
    </row>
    <row r="27" spans="1:13" x14ac:dyDescent="0.25">
      <c r="A27" s="11" t="s">
        <v>65</v>
      </c>
      <c r="B27" s="18" t="s">
        <v>61</v>
      </c>
      <c r="C27" s="236" t="s">
        <v>237</v>
      </c>
      <c r="D27" s="237">
        <v>4700062436</v>
      </c>
      <c r="E27" s="159">
        <v>43781</v>
      </c>
      <c r="F27" s="160" t="s">
        <v>291</v>
      </c>
      <c r="G27" s="242">
        <v>22323.27</v>
      </c>
      <c r="H27" s="239" t="s">
        <v>71</v>
      </c>
      <c r="I27" s="240" t="s">
        <v>507</v>
      </c>
      <c r="J27" s="240" t="s">
        <v>508</v>
      </c>
      <c r="K27" s="11" t="s">
        <v>76</v>
      </c>
      <c r="L27" s="241" t="s">
        <v>99</v>
      </c>
      <c r="M27" s="11" t="s">
        <v>390</v>
      </c>
    </row>
    <row r="28" spans="1:13" x14ac:dyDescent="0.25">
      <c r="A28" s="11" t="s">
        <v>65</v>
      </c>
      <c r="B28" s="18" t="s">
        <v>97</v>
      </c>
      <c r="C28" s="236" t="s">
        <v>325</v>
      </c>
      <c r="D28" s="237" t="s">
        <v>157</v>
      </c>
      <c r="E28" s="159">
        <v>10000595</v>
      </c>
      <c r="F28" s="160" t="s">
        <v>291</v>
      </c>
      <c r="G28" s="242">
        <v>188284.67</v>
      </c>
      <c r="H28" s="239" t="s">
        <v>71</v>
      </c>
      <c r="I28" s="240" t="s">
        <v>509</v>
      </c>
      <c r="J28" s="240" t="s">
        <v>497</v>
      </c>
      <c r="K28" s="11" t="s">
        <v>76</v>
      </c>
      <c r="L28" s="241" t="s">
        <v>99</v>
      </c>
      <c r="M28" s="11" t="s">
        <v>389</v>
      </c>
    </row>
    <row r="29" spans="1:13" x14ac:dyDescent="0.25">
      <c r="A29" s="11" t="s">
        <v>65</v>
      </c>
      <c r="B29" s="18" t="s">
        <v>60</v>
      </c>
      <c r="C29" s="236" t="s">
        <v>295</v>
      </c>
      <c r="D29" s="237">
        <v>4700064427</v>
      </c>
      <c r="E29" s="159" t="s">
        <v>297</v>
      </c>
      <c r="F29" s="160" t="s">
        <v>292</v>
      </c>
      <c r="G29" s="242">
        <v>15424</v>
      </c>
      <c r="H29" s="239" t="s">
        <v>72</v>
      </c>
      <c r="I29" s="240" t="s">
        <v>510</v>
      </c>
      <c r="J29" s="240" t="s">
        <v>497</v>
      </c>
      <c r="K29" s="11" t="s">
        <v>76</v>
      </c>
      <c r="L29" s="241" t="s">
        <v>99</v>
      </c>
      <c r="M29" s="11"/>
    </row>
    <row r="30" spans="1:13" x14ac:dyDescent="0.25">
      <c r="A30" s="11" t="s">
        <v>65</v>
      </c>
      <c r="B30" s="18" t="s">
        <v>60</v>
      </c>
      <c r="C30" s="236" t="s">
        <v>301</v>
      </c>
      <c r="D30" s="237">
        <v>4700065428</v>
      </c>
      <c r="E30" s="159">
        <v>92098064</v>
      </c>
      <c r="F30" s="160" t="s">
        <v>292</v>
      </c>
      <c r="G30" s="242">
        <v>4520</v>
      </c>
      <c r="H30" s="239" t="s">
        <v>72</v>
      </c>
      <c r="I30" s="240" t="s">
        <v>511</v>
      </c>
      <c r="J30" s="240" t="s">
        <v>487</v>
      </c>
      <c r="K30" s="11" t="s">
        <v>76</v>
      </c>
      <c r="L30" s="241" t="s">
        <v>99</v>
      </c>
      <c r="M30" s="11"/>
    </row>
    <row r="31" spans="1:13" x14ac:dyDescent="0.25">
      <c r="A31" s="11" t="s">
        <v>65</v>
      </c>
      <c r="B31" s="18" t="s">
        <v>60</v>
      </c>
      <c r="C31" s="236" t="s">
        <v>303</v>
      </c>
      <c r="D31" s="237">
        <v>4700065444</v>
      </c>
      <c r="E31" s="159" t="s">
        <v>334</v>
      </c>
      <c r="F31" s="160" t="s">
        <v>292</v>
      </c>
      <c r="G31" s="242">
        <v>1750</v>
      </c>
      <c r="H31" s="239" t="s">
        <v>72</v>
      </c>
      <c r="I31" s="240" t="s">
        <v>511</v>
      </c>
      <c r="J31" s="240" t="s">
        <v>487</v>
      </c>
      <c r="K31" s="11" t="s">
        <v>76</v>
      </c>
      <c r="L31" s="241" t="s">
        <v>99</v>
      </c>
      <c r="M31" s="11"/>
    </row>
    <row r="32" spans="1:13" x14ac:dyDescent="0.25">
      <c r="A32" s="11" t="s">
        <v>65</v>
      </c>
      <c r="B32" s="18" t="s">
        <v>61</v>
      </c>
      <c r="C32" s="156" t="s">
        <v>239</v>
      </c>
      <c r="D32" s="243">
        <v>4700062434</v>
      </c>
      <c r="E32" s="159">
        <v>43782</v>
      </c>
      <c r="F32" s="160" t="s">
        <v>291</v>
      </c>
      <c r="G32" s="58">
        <v>22323.200000000001</v>
      </c>
      <c r="H32" s="155" t="s">
        <v>71</v>
      </c>
      <c r="I32" s="244" t="s">
        <v>512</v>
      </c>
      <c r="J32" s="244" t="s">
        <v>498</v>
      </c>
      <c r="K32" s="11" t="s">
        <v>76</v>
      </c>
      <c r="L32" s="245" t="s">
        <v>99</v>
      </c>
      <c r="M32" s="11" t="s">
        <v>453</v>
      </c>
    </row>
    <row r="33" spans="1:13" x14ac:dyDescent="0.25">
      <c r="A33" s="11" t="s">
        <v>65</v>
      </c>
      <c r="B33" s="18" t="s">
        <v>60</v>
      </c>
      <c r="C33" s="236" t="s">
        <v>196</v>
      </c>
      <c r="D33" s="237">
        <v>4700064009</v>
      </c>
      <c r="E33" s="159">
        <v>1058</v>
      </c>
      <c r="F33" s="160" t="s">
        <v>292</v>
      </c>
      <c r="G33" s="242">
        <v>1060</v>
      </c>
      <c r="H33" s="239" t="s">
        <v>72</v>
      </c>
      <c r="I33" s="240" t="s">
        <v>513</v>
      </c>
      <c r="J33" s="240" t="s">
        <v>498</v>
      </c>
      <c r="K33" s="11" t="s">
        <v>76</v>
      </c>
      <c r="L33" s="241" t="s">
        <v>99</v>
      </c>
      <c r="M33" s="11" t="s">
        <v>454</v>
      </c>
    </row>
    <row r="34" spans="1:13" x14ac:dyDescent="0.25">
      <c r="A34" s="11" t="s">
        <v>65</v>
      </c>
      <c r="B34" s="18" t="s">
        <v>60</v>
      </c>
      <c r="C34" s="236" t="s">
        <v>302</v>
      </c>
      <c r="D34" s="237">
        <v>4700065390</v>
      </c>
      <c r="E34" s="159">
        <v>323</v>
      </c>
      <c r="F34" s="160" t="s">
        <v>292</v>
      </c>
      <c r="G34" s="242">
        <v>19910.400000000001</v>
      </c>
      <c r="H34" s="239" t="s">
        <v>72</v>
      </c>
      <c r="I34" s="240" t="s">
        <v>514</v>
      </c>
      <c r="J34" s="240" t="s">
        <v>498</v>
      </c>
      <c r="K34" s="11" t="s">
        <v>76</v>
      </c>
      <c r="L34" s="241" t="s">
        <v>99</v>
      </c>
      <c r="M34" s="11"/>
    </row>
    <row r="35" spans="1:13" x14ac:dyDescent="0.25">
      <c r="A35" s="11" t="s">
        <v>65</v>
      </c>
      <c r="B35" s="18" t="s">
        <v>60</v>
      </c>
      <c r="C35" s="236" t="s">
        <v>298</v>
      </c>
      <c r="D35" s="237" t="s">
        <v>299</v>
      </c>
      <c r="E35" s="159">
        <v>500061</v>
      </c>
      <c r="F35" s="160" t="s">
        <v>292</v>
      </c>
      <c r="G35" s="242">
        <v>445</v>
      </c>
      <c r="H35" s="239" t="s">
        <v>72</v>
      </c>
      <c r="I35" s="240" t="s">
        <v>514</v>
      </c>
      <c r="J35" s="240" t="s">
        <v>498</v>
      </c>
      <c r="K35" s="11" t="s">
        <v>76</v>
      </c>
      <c r="L35" s="241" t="s">
        <v>99</v>
      </c>
      <c r="M35" s="11"/>
    </row>
    <row r="36" spans="1:13" x14ac:dyDescent="0.25">
      <c r="A36" s="11" t="s">
        <v>65</v>
      </c>
      <c r="B36" s="18" t="s">
        <v>97</v>
      </c>
      <c r="C36" s="236" t="s">
        <v>391</v>
      </c>
      <c r="D36" s="237" t="s">
        <v>157</v>
      </c>
      <c r="E36" s="159">
        <v>10002081</v>
      </c>
      <c r="F36" s="160" t="s">
        <v>291</v>
      </c>
      <c r="G36" s="242">
        <v>155249.41</v>
      </c>
      <c r="H36" s="239" t="s">
        <v>71</v>
      </c>
      <c r="I36" s="240" t="s">
        <v>506</v>
      </c>
      <c r="J36" s="240" t="s">
        <v>515</v>
      </c>
      <c r="K36" s="11" t="s">
        <v>85</v>
      </c>
      <c r="L36" s="241" t="s">
        <v>99</v>
      </c>
      <c r="M36" s="11" t="s">
        <v>455</v>
      </c>
    </row>
    <row r="37" spans="1:13" x14ac:dyDescent="0.25">
      <c r="A37" s="11" t="s">
        <v>65</v>
      </c>
      <c r="B37" s="18" t="s">
        <v>97</v>
      </c>
      <c r="C37" s="248" t="s">
        <v>395</v>
      </c>
      <c r="D37" s="249" t="s">
        <v>157</v>
      </c>
      <c r="E37" s="159">
        <v>10004886</v>
      </c>
      <c r="F37" s="160" t="s">
        <v>291</v>
      </c>
      <c r="G37" s="263">
        <v>86385.85</v>
      </c>
      <c r="H37" s="251" t="s">
        <v>71</v>
      </c>
      <c r="I37" s="252" t="s">
        <v>501</v>
      </c>
      <c r="J37" s="252" t="s">
        <v>516</v>
      </c>
      <c r="K37" s="11" t="s">
        <v>85</v>
      </c>
      <c r="L37" s="253" t="s">
        <v>99</v>
      </c>
      <c r="M37" s="11" t="s">
        <v>455</v>
      </c>
    </row>
    <row r="38" spans="1:13" x14ac:dyDescent="0.25">
      <c r="A38" s="11" t="s">
        <v>65</v>
      </c>
      <c r="B38" s="18" t="s">
        <v>60</v>
      </c>
      <c r="C38" s="248" t="s">
        <v>459</v>
      </c>
      <c r="D38" s="249">
        <v>4700066228</v>
      </c>
      <c r="E38" s="159" t="s">
        <v>461</v>
      </c>
      <c r="F38" s="160" t="s">
        <v>292</v>
      </c>
      <c r="G38" s="263">
        <v>54428</v>
      </c>
      <c r="H38" s="251" t="s">
        <v>72</v>
      </c>
      <c r="I38" s="252" t="s">
        <v>501</v>
      </c>
      <c r="J38" s="252" t="s">
        <v>516</v>
      </c>
      <c r="K38" s="11" t="s">
        <v>86</v>
      </c>
      <c r="L38" s="253" t="s">
        <v>99</v>
      </c>
      <c r="M38" s="11"/>
    </row>
    <row r="39" spans="1:13" x14ac:dyDescent="0.25">
      <c r="A39" s="11" t="s">
        <v>65</v>
      </c>
      <c r="B39" s="18" t="s">
        <v>60</v>
      </c>
      <c r="C39" s="248" t="s">
        <v>410</v>
      </c>
      <c r="D39" s="249" t="s">
        <v>157</v>
      </c>
      <c r="E39" s="159" t="s">
        <v>411</v>
      </c>
      <c r="F39" s="160" t="s">
        <v>291</v>
      </c>
      <c r="G39" s="263">
        <v>100588.65</v>
      </c>
      <c r="H39" s="251" t="s">
        <v>71</v>
      </c>
      <c r="I39" s="252" t="s">
        <v>517</v>
      </c>
      <c r="J39" s="252" t="s">
        <v>518</v>
      </c>
      <c r="K39" s="11" t="s">
        <v>85</v>
      </c>
      <c r="L39" s="253" t="s">
        <v>99</v>
      </c>
      <c r="M39" s="11" t="s">
        <v>457</v>
      </c>
    </row>
    <row r="40" spans="1:13" x14ac:dyDescent="0.25">
      <c r="A40" s="11" t="s">
        <v>65</v>
      </c>
      <c r="B40" s="18" t="s">
        <v>60</v>
      </c>
      <c r="C40" s="248" t="s">
        <v>393</v>
      </c>
      <c r="D40" s="249">
        <v>4700066182</v>
      </c>
      <c r="E40" s="159" t="s">
        <v>98</v>
      </c>
      <c r="F40" s="160" t="s">
        <v>292</v>
      </c>
      <c r="G40" s="250" t="s">
        <v>496</v>
      </c>
      <c r="H40" s="251" t="s">
        <v>71</v>
      </c>
      <c r="I40" s="252" t="s">
        <v>519</v>
      </c>
      <c r="J40" s="252" t="s">
        <v>520</v>
      </c>
      <c r="K40" s="11" t="s">
        <v>87</v>
      </c>
      <c r="L40" s="253" t="s">
        <v>99</v>
      </c>
      <c r="M40" s="11" t="s">
        <v>458</v>
      </c>
    </row>
    <row r="41" spans="1:13" x14ac:dyDescent="0.25">
      <c r="A41" s="11" t="s">
        <v>65</v>
      </c>
      <c r="B41" s="18" t="s">
        <v>60</v>
      </c>
      <c r="C41" s="248" t="s">
        <v>462</v>
      </c>
      <c r="D41" s="249" t="s">
        <v>463</v>
      </c>
      <c r="E41" s="159" t="s">
        <v>98</v>
      </c>
      <c r="F41" s="160" t="s">
        <v>292</v>
      </c>
      <c r="G41" s="250" t="s">
        <v>496</v>
      </c>
      <c r="H41" s="251" t="s">
        <v>72</v>
      </c>
      <c r="I41" s="252" t="s">
        <v>521</v>
      </c>
      <c r="J41" s="252" t="s">
        <v>522</v>
      </c>
      <c r="K41" s="11" t="s">
        <v>87</v>
      </c>
      <c r="L41" s="253" t="s">
        <v>99</v>
      </c>
      <c r="M41" s="11" t="s">
        <v>490</v>
      </c>
    </row>
    <row r="42" spans="1:13" x14ac:dyDescent="0.25">
      <c r="A42" s="11" t="s">
        <v>65</v>
      </c>
      <c r="B42" s="18" t="s">
        <v>61</v>
      </c>
      <c r="C42" s="248" t="s">
        <v>418</v>
      </c>
      <c r="D42" s="249">
        <v>4700064216</v>
      </c>
      <c r="E42" s="159" t="s">
        <v>98</v>
      </c>
      <c r="F42" s="160" t="s">
        <v>292</v>
      </c>
      <c r="G42" s="250" t="s">
        <v>496</v>
      </c>
      <c r="H42" s="251" t="s">
        <v>71</v>
      </c>
      <c r="I42" s="252" t="s">
        <v>309</v>
      </c>
      <c r="J42" s="252" t="s">
        <v>99</v>
      </c>
      <c r="K42" s="11" t="s">
        <v>87</v>
      </c>
      <c r="L42" s="253" t="s">
        <v>99</v>
      </c>
      <c r="M42" s="11"/>
    </row>
    <row r="43" spans="1:13" x14ac:dyDescent="0.25">
      <c r="A43" s="11" t="s">
        <v>65</v>
      </c>
      <c r="B43" s="18" t="s">
        <v>60</v>
      </c>
      <c r="C43" s="248" t="s">
        <v>433</v>
      </c>
      <c r="D43" s="249">
        <v>4700066498</v>
      </c>
      <c r="E43" s="159">
        <v>8</v>
      </c>
      <c r="F43" s="160" t="s">
        <v>292</v>
      </c>
      <c r="G43" s="263">
        <v>7712</v>
      </c>
      <c r="H43" s="251" t="s">
        <v>72</v>
      </c>
      <c r="I43" s="252" t="s">
        <v>309</v>
      </c>
      <c r="J43" s="252" t="s">
        <v>99</v>
      </c>
      <c r="K43" s="11" t="s">
        <v>87</v>
      </c>
      <c r="L43" s="253" t="s">
        <v>99</v>
      </c>
      <c r="M43" s="11"/>
    </row>
    <row r="44" spans="1:13" x14ac:dyDescent="0.25">
      <c r="A44" s="11" t="s">
        <v>67</v>
      </c>
      <c r="B44" s="18" t="s">
        <v>60</v>
      </c>
      <c r="C44" s="248" t="s">
        <v>441</v>
      </c>
      <c r="D44" s="249" t="s">
        <v>157</v>
      </c>
      <c r="E44" s="159">
        <v>24000128</v>
      </c>
      <c r="F44" s="160" t="s">
        <v>294</v>
      </c>
      <c r="G44" s="263">
        <v>2592.54</v>
      </c>
      <c r="H44" s="251" t="s">
        <v>71</v>
      </c>
      <c r="I44" s="252" t="s">
        <v>523</v>
      </c>
      <c r="J44" s="252" t="s">
        <v>484</v>
      </c>
      <c r="K44" s="11" t="s">
        <v>73</v>
      </c>
      <c r="L44" s="253" t="s">
        <v>495</v>
      </c>
      <c r="M44" s="11"/>
    </row>
    <row r="45" spans="1:13" x14ac:dyDescent="0.25">
      <c r="A45" s="11" t="s">
        <v>119</v>
      </c>
      <c r="B45" s="18" t="s">
        <v>62</v>
      </c>
      <c r="C45" s="248" t="s">
        <v>434</v>
      </c>
      <c r="D45" s="249">
        <v>4700066780</v>
      </c>
      <c r="E45" s="159">
        <v>10004099</v>
      </c>
      <c r="F45" s="160" t="s">
        <v>294</v>
      </c>
      <c r="G45" s="250">
        <v>5154.74</v>
      </c>
      <c r="H45" s="251" t="s">
        <v>71</v>
      </c>
      <c r="I45" s="252" t="s">
        <v>500</v>
      </c>
      <c r="J45" s="252" t="s">
        <v>483</v>
      </c>
      <c r="K45" s="11" t="s">
        <v>83</v>
      </c>
      <c r="L45" s="253" t="s">
        <v>99</v>
      </c>
      <c r="M45" s="11" t="s">
        <v>488</v>
      </c>
    </row>
    <row r="46" spans="1:13" x14ac:dyDescent="0.25">
      <c r="A46" s="11" t="s">
        <v>119</v>
      </c>
      <c r="B46" s="18" t="s">
        <v>26</v>
      </c>
      <c r="C46" s="248" t="s">
        <v>472</v>
      </c>
      <c r="D46" s="249" t="s">
        <v>26</v>
      </c>
      <c r="E46" s="159" t="s">
        <v>474</v>
      </c>
      <c r="F46" s="160" t="s">
        <v>294</v>
      </c>
      <c r="G46" s="250">
        <v>1</v>
      </c>
      <c r="H46" s="251" t="s">
        <v>71</v>
      </c>
      <c r="I46" s="252" t="s">
        <v>499</v>
      </c>
      <c r="J46" s="252" t="s">
        <v>483</v>
      </c>
      <c r="K46" s="11" t="s">
        <v>83</v>
      </c>
      <c r="L46" s="253" t="s">
        <v>99</v>
      </c>
      <c r="M46" s="11" t="s">
        <v>489</v>
      </c>
    </row>
    <row r="47" spans="1:13" x14ac:dyDescent="0.25">
      <c r="A47" s="11" t="s">
        <v>119</v>
      </c>
      <c r="B47" s="18" t="s">
        <v>26</v>
      </c>
      <c r="C47" s="248" t="s">
        <v>425</v>
      </c>
      <c r="D47" s="249" t="s">
        <v>26</v>
      </c>
      <c r="E47" s="159" t="s">
        <v>427</v>
      </c>
      <c r="F47" s="160" t="s">
        <v>294</v>
      </c>
      <c r="G47" s="250">
        <v>1</v>
      </c>
      <c r="H47" s="251" t="s">
        <v>71</v>
      </c>
      <c r="I47" s="252" t="s">
        <v>524</v>
      </c>
      <c r="J47" s="252" t="s">
        <v>484</v>
      </c>
      <c r="K47" s="11" t="s">
        <v>73</v>
      </c>
      <c r="L47" s="253" t="s">
        <v>485</v>
      </c>
      <c r="M47" s="11"/>
    </row>
    <row r="48" spans="1:13" x14ac:dyDescent="0.25">
      <c r="A48" s="11" t="s">
        <v>119</v>
      </c>
      <c r="B48" s="18" t="s">
        <v>26</v>
      </c>
      <c r="C48" s="248" t="s">
        <v>422</v>
      </c>
      <c r="D48" s="249" t="s">
        <v>26</v>
      </c>
      <c r="E48" s="159">
        <v>27000002</v>
      </c>
      <c r="F48" s="160" t="s">
        <v>294</v>
      </c>
      <c r="G48" s="250">
        <v>1</v>
      </c>
      <c r="H48" s="251" t="s">
        <v>71</v>
      </c>
      <c r="I48" s="252" t="s">
        <v>525</v>
      </c>
      <c r="J48" s="252" t="s">
        <v>485</v>
      </c>
      <c r="K48" s="11" t="s">
        <v>83</v>
      </c>
      <c r="L48" s="253" t="s">
        <v>99</v>
      </c>
      <c r="M48" s="11" t="s">
        <v>424</v>
      </c>
    </row>
    <row r="49" spans="1:13" x14ac:dyDescent="0.25">
      <c r="A49" s="11" t="s">
        <v>119</v>
      </c>
      <c r="B49" s="18" t="s">
        <v>60</v>
      </c>
      <c r="C49" s="248" t="s">
        <v>468</v>
      </c>
      <c r="D49" s="249" t="s">
        <v>157</v>
      </c>
      <c r="E49" s="159">
        <v>10004733</v>
      </c>
      <c r="F49" s="160" t="s">
        <v>294</v>
      </c>
      <c r="G49" s="250">
        <v>947.21</v>
      </c>
      <c r="H49" s="251" t="s">
        <v>71</v>
      </c>
      <c r="I49" s="252" t="s">
        <v>514</v>
      </c>
      <c r="J49" s="252" t="s">
        <v>485</v>
      </c>
      <c r="K49" s="11" t="s">
        <v>83</v>
      </c>
      <c r="L49" s="253" t="s">
        <v>99</v>
      </c>
      <c r="M49" s="11" t="s">
        <v>424</v>
      </c>
    </row>
    <row r="50" spans="1:13" x14ac:dyDescent="0.25">
      <c r="A50" s="11" t="s">
        <v>119</v>
      </c>
      <c r="B50" s="18" t="s">
        <v>26</v>
      </c>
      <c r="C50" s="248" t="s">
        <v>470</v>
      </c>
      <c r="D50" s="249" t="s">
        <v>26</v>
      </c>
      <c r="E50" s="159">
        <v>129</v>
      </c>
      <c r="F50" s="160" t="s">
        <v>294</v>
      </c>
      <c r="G50" s="250">
        <v>3</v>
      </c>
      <c r="H50" s="251" t="s">
        <v>71</v>
      </c>
      <c r="I50" s="252" t="s">
        <v>506</v>
      </c>
      <c r="J50" s="252" t="s">
        <v>486</v>
      </c>
      <c r="K50" s="11" t="s">
        <v>75</v>
      </c>
      <c r="L50" s="253" t="s">
        <v>99</v>
      </c>
      <c r="M50" s="11"/>
    </row>
    <row r="51" spans="1:13" x14ac:dyDescent="0.25">
      <c r="A51" s="11" t="s">
        <v>119</v>
      </c>
      <c r="B51" s="18" t="s">
        <v>26</v>
      </c>
      <c r="C51" s="248" t="s">
        <v>480</v>
      </c>
      <c r="D51" s="249" t="s">
        <v>26</v>
      </c>
      <c r="E51" s="159" t="s">
        <v>482</v>
      </c>
      <c r="F51" s="160" t="s">
        <v>294</v>
      </c>
      <c r="G51" s="250">
        <v>221.12</v>
      </c>
      <c r="H51" s="251" t="s">
        <v>71</v>
      </c>
      <c r="I51" s="252" t="s">
        <v>495</v>
      </c>
      <c r="J51" s="252" t="s">
        <v>487</v>
      </c>
      <c r="K51" s="11" t="s">
        <v>75</v>
      </c>
      <c r="L51" s="253" t="s">
        <v>99</v>
      </c>
      <c r="M51" s="11"/>
    </row>
    <row r="52" spans="1:13" x14ac:dyDescent="0.25">
      <c r="A52" s="44"/>
      <c r="B52" s="142"/>
      <c r="C52" s="156"/>
      <c r="D52" s="92"/>
      <c r="E52" s="151"/>
      <c r="F52" s="142"/>
      <c r="G52" s="87"/>
      <c r="H52" s="144"/>
      <c r="I52" s="143"/>
      <c r="J52" s="143"/>
      <c r="K52" s="44"/>
      <c r="L52" s="88"/>
      <c r="M52" s="11"/>
    </row>
    <row r="53" spans="1:13" x14ac:dyDescent="0.25">
      <c r="A53" s="44"/>
      <c r="B53" s="142"/>
      <c r="C53" s="156"/>
      <c r="D53" s="92"/>
      <c r="E53" s="151"/>
      <c r="F53" s="142"/>
      <c r="G53" s="87"/>
      <c r="H53" s="144"/>
      <c r="I53" s="143"/>
      <c r="J53" s="143"/>
      <c r="K53" s="44"/>
      <c r="L53" s="88"/>
      <c r="M53" s="11"/>
    </row>
    <row r="54" spans="1:13" x14ac:dyDescent="0.25">
      <c r="A54" s="44"/>
      <c r="B54" s="142"/>
      <c r="C54" s="156"/>
      <c r="D54" s="92"/>
      <c r="E54" s="151"/>
      <c r="F54" s="142"/>
      <c r="G54" s="87"/>
      <c r="H54" s="144"/>
      <c r="I54" s="143"/>
      <c r="J54" s="143"/>
      <c r="K54" s="44"/>
      <c r="L54" s="88"/>
      <c r="M54" s="11"/>
    </row>
    <row r="55" spans="1:13" x14ac:dyDescent="0.25">
      <c r="A55" s="44"/>
      <c r="B55" s="142"/>
      <c r="C55" s="156"/>
      <c r="D55" s="92"/>
      <c r="E55" s="151"/>
      <c r="F55" s="142"/>
      <c r="G55" s="87"/>
      <c r="H55" s="144"/>
      <c r="I55" s="143"/>
      <c r="J55" s="143"/>
      <c r="K55" s="44"/>
      <c r="L55" s="88"/>
      <c r="M55" s="11"/>
    </row>
    <row r="56" spans="1:13" x14ac:dyDescent="0.25">
      <c r="A56" s="44"/>
      <c r="B56" s="142"/>
      <c r="C56" s="156"/>
      <c r="D56" s="92"/>
      <c r="E56" s="151"/>
      <c r="F56" s="142"/>
      <c r="G56" s="87"/>
      <c r="H56" s="144"/>
      <c r="I56" s="143"/>
      <c r="J56" s="143"/>
      <c r="K56" s="44"/>
      <c r="L56" s="88"/>
      <c r="M56" s="11"/>
    </row>
    <row r="57" spans="1:13" x14ac:dyDescent="0.25">
      <c r="A57" s="44"/>
      <c r="B57" s="142"/>
      <c r="C57" s="156"/>
      <c r="D57" s="92"/>
      <c r="E57" s="151"/>
      <c r="F57" s="142"/>
      <c r="G57" s="87"/>
      <c r="H57" s="144"/>
      <c r="I57" s="143"/>
      <c r="J57" s="143"/>
      <c r="K57" s="44"/>
      <c r="L57" s="88"/>
      <c r="M57" s="11"/>
    </row>
    <row r="58" spans="1:13" x14ac:dyDescent="0.25">
      <c r="A58" s="44"/>
      <c r="B58" s="142"/>
      <c r="C58" s="156"/>
      <c r="D58" s="92"/>
      <c r="E58" s="151"/>
      <c r="F58" s="142"/>
      <c r="G58" s="87"/>
      <c r="H58" s="144"/>
      <c r="I58" s="143"/>
      <c r="J58" s="143"/>
      <c r="K58" s="44"/>
      <c r="L58" s="88"/>
      <c r="M58" s="11"/>
    </row>
    <row r="59" spans="1:13" x14ac:dyDescent="0.25">
      <c r="A59" s="44"/>
      <c r="B59" s="142"/>
      <c r="C59" s="156"/>
      <c r="D59" s="92"/>
      <c r="E59" s="151"/>
      <c r="F59" s="142"/>
      <c r="G59" s="87"/>
      <c r="H59" s="144"/>
      <c r="I59" s="143"/>
      <c r="J59" s="143"/>
      <c r="K59" s="44"/>
      <c r="L59" s="88"/>
      <c r="M59" s="11"/>
    </row>
    <row r="60" spans="1:13" x14ac:dyDescent="0.25">
      <c r="A60" s="44"/>
      <c r="B60" s="142"/>
      <c r="C60" s="156"/>
      <c r="D60" s="92"/>
      <c r="E60" s="151"/>
      <c r="F60" s="142"/>
      <c r="G60" s="87"/>
      <c r="H60" s="144"/>
      <c r="I60" s="143"/>
      <c r="J60" s="143"/>
      <c r="K60" s="44"/>
      <c r="L60" s="88"/>
      <c r="M60" s="11"/>
    </row>
    <row r="61" spans="1:13" x14ac:dyDescent="0.25">
      <c r="A61" s="44"/>
      <c r="B61" s="142"/>
      <c r="C61" s="156"/>
      <c r="D61" s="92"/>
      <c r="E61" s="151"/>
      <c r="F61" s="142"/>
      <c r="G61" s="87"/>
      <c r="H61" s="144"/>
      <c r="I61" s="143"/>
      <c r="J61" s="143"/>
      <c r="K61" s="44"/>
      <c r="L61" s="88"/>
      <c r="M61" s="11"/>
    </row>
    <row r="62" spans="1:13" x14ac:dyDescent="0.25">
      <c r="A62" s="44"/>
      <c r="B62" s="142"/>
      <c r="C62" s="156"/>
      <c r="D62" s="92"/>
      <c r="E62" s="151"/>
      <c r="F62" s="142"/>
      <c r="G62" s="87"/>
      <c r="H62" s="144"/>
      <c r="I62" s="143"/>
      <c r="J62" s="143"/>
      <c r="K62" s="44"/>
      <c r="L62" s="88"/>
      <c r="M62" s="11"/>
    </row>
    <row r="63" spans="1:13" x14ac:dyDescent="0.25">
      <c r="A63" s="44"/>
      <c r="B63" s="142"/>
      <c r="C63" s="156"/>
      <c r="D63" s="92"/>
      <c r="E63" s="151"/>
      <c r="F63" s="142"/>
      <c r="G63" s="87"/>
      <c r="H63" s="144"/>
      <c r="I63" s="143"/>
      <c r="J63" s="143"/>
      <c r="K63" s="44"/>
      <c r="L63" s="88"/>
      <c r="M63" s="11"/>
    </row>
    <row r="64" spans="1:13" x14ac:dyDescent="0.25">
      <c r="A64" s="44"/>
      <c r="B64" s="142"/>
      <c r="C64" s="156"/>
      <c r="D64" s="92"/>
      <c r="E64" s="151"/>
      <c r="F64" s="142"/>
      <c r="G64" s="87"/>
      <c r="H64" s="144"/>
      <c r="I64" s="143"/>
      <c r="J64" s="143"/>
      <c r="K64" s="44"/>
      <c r="L64" s="88"/>
      <c r="M64" s="11"/>
    </row>
    <row r="65" spans="1:13" x14ac:dyDescent="0.25">
      <c r="A65" s="44"/>
      <c r="B65" s="142"/>
      <c r="C65" s="156"/>
      <c r="D65" s="92"/>
      <c r="E65" s="151"/>
      <c r="F65" s="142"/>
      <c r="G65" s="87"/>
      <c r="H65" s="144"/>
      <c r="I65" s="143"/>
      <c r="J65" s="143"/>
      <c r="K65" s="44"/>
      <c r="L65" s="88"/>
      <c r="M65" s="11"/>
    </row>
    <row r="66" spans="1:13" x14ac:dyDescent="0.25">
      <c r="A66" s="44"/>
      <c r="B66" s="142"/>
      <c r="C66" s="156"/>
      <c r="D66" s="92"/>
      <c r="E66" s="151"/>
      <c r="F66" s="142"/>
      <c r="G66" s="87"/>
      <c r="H66" s="144"/>
      <c r="I66" s="143"/>
      <c r="J66" s="143"/>
      <c r="K66" s="44"/>
      <c r="L66" s="88"/>
      <c r="M66" s="11"/>
    </row>
    <row r="67" spans="1:13" x14ac:dyDescent="0.25">
      <c r="A67" s="44"/>
      <c r="B67" s="142"/>
      <c r="C67" s="156"/>
      <c r="D67" s="92"/>
      <c r="E67" s="151"/>
      <c r="F67" s="142"/>
      <c r="G67" s="87"/>
      <c r="H67" s="144"/>
      <c r="I67" s="143"/>
      <c r="J67" s="143"/>
      <c r="K67" s="44"/>
      <c r="L67" s="88"/>
      <c r="M67" s="11"/>
    </row>
    <row r="68" spans="1:13" x14ac:dyDescent="0.25">
      <c r="A68" s="44"/>
      <c r="B68" s="142"/>
      <c r="C68" s="156"/>
      <c r="D68" s="92"/>
      <c r="E68" s="151"/>
      <c r="F68" s="142"/>
      <c r="G68" s="87"/>
      <c r="H68" s="144"/>
      <c r="I68" s="143"/>
      <c r="J68" s="143"/>
      <c r="K68" s="44"/>
      <c r="L68" s="88"/>
      <c r="M68" s="11"/>
    </row>
    <row r="69" spans="1:13" x14ac:dyDescent="0.25">
      <c r="A69" s="44"/>
      <c r="B69" s="142"/>
      <c r="C69" s="156"/>
      <c r="D69" s="92"/>
      <c r="E69" s="151"/>
      <c r="F69" s="142"/>
      <c r="G69" s="87"/>
      <c r="H69" s="144"/>
      <c r="I69" s="143"/>
      <c r="J69" s="143"/>
      <c r="K69" s="44"/>
      <c r="L69" s="88"/>
      <c r="M69" s="11"/>
    </row>
    <row r="70" spans="1:13" x14ac:dyDescent="0.25">
      <c r="A70" s="44"/>
      <c r="B70" s="142"/>
      <c r="C70" s="156"/>
      <c r="D70" s="92"/>
      <c r="E70" s="151"/>
      <c r="F70" s="142"/>
      <c r="G70" s="87"/>
      <c r="H70" s="144"/>
      <c r="I70" s="143"/>
      <c r="J70" s="143"/>
      <c r="K70" s="44"/>
      <c r="L70" s="88"/>
      <c r="M70" s="11"/>
    </row>
    <row r="71" spans="1:13" x14ac:dyDescent="0.25">
      <c r="A71" s="44"/>
      <c r="B71" s="142"/>
      <c r="C71" s="156"/>
      <c r="D71" s="92"/>
      <c r="E71" s="151"/>
      <c r="F71" s="142"/>
      <c r="G71" s="87"/>
      <c r="H71" s="144"/>
      <c r="I71" s="143"/>
      <c r="J71" s="143"/>
      <c r="K71" s="44"/>
      <c r="L71" s="88"/>
      <c r="M71" s="11"/>
    </row>
    <row r="72" spans="1:13" x14ac:dyDescent="0.25">
      <c r="A72" s="44"/>
      <c r="B72" s="142"/>
      <c r="C72" s="156"/>
      <c r="D72" s="92"/>
      <c r="E72" s="151"/>
      <c r="F72" s="142"/>
      <c r="G72" s="87"/>
      <c r="H72" s="144"/>
      <c r="I72" s="143"/>
      <c r="J72" s="143"/>
      <c r="K72" s="44"/>
      <c r="L72" s="88"/>
      <c r="M72" s="11"/>
    </row>
    <row r="73" spans="1:13" x14ac:dyDescent="0.25">
      <c r="A73" s="44"/>
      <c r="B73" s="142"/>
      <c r="C73" s="156"/>
      <c r="D73" s="92"/>
      <c r="E73" s="151"/>
      <c r="F73" s="142"/>
      <c r="G73" s="87"/>
      <c r="H73" s="144"/>
      <c r="I73" s="143"/>
      <c r="J73" s="143"/>
      <c r="K73" s="44"/>
      <c r="L73" s="88"/>
      <c r="M73" s="11"/>
    </row>
    <row r="74" spans="1:13" x14ac:dyDescent="0.25">
      <c r="A74" s="44"/>
      <c r="B74" s="142"/>
      <c r="C74" s="156"/>
      <c r="D74" s="92"/>
      <c r="E74" s="151"/>
      <c r="F74" s="142"/>
      <c r="G74" s="87"/>
      <c r="H74" s="144"/>
      <c r="I74" s="143"/>
      <c r="J74" s="143"/>
      <c r="K74" s="44"/>
      <c r="L74" s="88"/>
      <c r="M74" s="11"/>
    </row>
    <row r="75" spans="1:13" x14ac:dyDescent="0.25">
      <c r="A75" s="44"/>
      <c r="B75" s="142"/>
      <c r="C75" s="156"/>
      <c r="D75" s="92"/>
      <c r="E75" s="151"/>
      <c r="F75" s="142"/>
      <c r="G75" s="87"/>
      <c r="H75" s="144"/>
      <c r="I75" s="143"/>
      <c r="J75" s="143"/>
      <c r="K75" s="44"/>
      <c r="L75" s="88"/>
      <c r="M75" s="11"/>
    </row>
    <row r="76" spans="1:13" x14ac:dyDescent="0.25">
      <c r="A76" s="44"/>
      <c r="B76" s="142"/>
      <c r="C76" s="156"/>
      <c r="D76" s="92"/>
      <c r="E76" s="151"/>
      <c r="F76" s="142"/>
      <c r="G76" s="87"/>
      <c r="H76" s="144"/>
      <c r="I76" s="143"/>
      <c r="J76" s="143"/>
      <c r="K76" s="44"/>
      <c r="L76" s="88"/>
      <c r="M76" s="11"/>
    </row>
    <row r="77" spans="1:13" x14ac:dyDescent="0.25">
      <c r="A77" s="44"/>
      <c r="B77" s="142"/>
      <c r="C77" s="156"/>
      <c r="D77" s="92"/>
      <c r="E77" s="151"/>
      <c r="F77" s="142"/>
      <c r="G77" s="87"/>
      <c r="H77" s="144"/>
      <c r="I77" s="143"/>
      <c r="J77" s="143"/>
      <c r="K77" s="44"/>
      <c r="L77" s="88"/>
      <c r="M77" s="11"/>
    </row>
    <row r="78" spans="1:13" x14ac:dyDescent="0.25">
      <c r="A78" s="44"/>
      <c r="B78" s="142"/>
      <c r="C78" s="156"/>
      <c r="D78" s="92"/>
      <c r="E78" s="151"/>
      <c r="F78" s="142"/>
      <c r="G78" s="87"/>
      <c r="H78" s="144"/>
      <c r="I78" s="143"/>
      <c r="J78" s="143"/>
      <c r="K78" s="44"/>
      <c r="L78" s="88"/>
      <c r="M78" s="11"/>
    </row>
    <row r="79" spans="1:13" x14ac:dyDescent="0.25">
      <c r="A79" s="44"/>
      <c r="B79" s="142"/>
      <c r="C79" s="156"/>
      <c r="D79" s="92"/>
      <c r="E79" s="151"/>
      <c r="F79" s="142"/>
      <c r="G79" s="87"/>
      <c r="H79" s="144"/>
      <c r="I79" s="143"/>
      <c r="J79" s="143"/>
      <c r="K79" s="44"/>
      <c r="L79" s="88"/>
      <c r="M79" s="11"/>
    </row>
    <row r="80" spans="1:13" x14ac:dyDescent="0.25">
      <c r="A80" s="44"/>
      <c r="B80" s="142"/>
      <c r="C80" s="156"/>
      <c r="D80" s="92"/>
      <c r="E80" s="151"/>
      <c r="F80" s="142"/>
      <c r="G80" s="87"/>
      <c r="H80" s="144"/>
      <c r="I80" s="143"/>
      <c r="J80" s="143"/>
      <c r="K80" s="44"/>
      <c r="L80" s="88"/>
      <c r="M80" s="11"/>
    </row>
    <row r="81" spans="1:13" x14ac:dyDescent="0.25">
      <c r="A81" s="44"/>
      <c r="B81" s="142"/>
      <c r="C81" s="156"/>
      <c r="D81" s="92"/>
      <c r="E81" s="151"/>
      <c r="F81" s="142"/>
      <c r="G81" s="87"/>
      <c r="H81" s="144"/>
      <c r="I81" s="143"/>
      <c r="J81" s="143"/>
      <c r="K81" s="44"/>
      <c r="L81" s="88"/>
      <c r="M81" s="11"/>
    </row>
    <row r="82" spans="1:13" x14ac:dyDescent="0.25">
      <c r="A82" s="44"/>
      <c r="B82" s="142"/>
      <c r="C82" s="156"/>
      <c r="D82" s="92"/>
      <c r="E82" s="151"/>
      <c r="F82" s="142"/>
      <c r="G82" s="87"/>
      <c r="H82" s="144"/>
      <c r="I82" s="143"/>
      <c r="J82" s="143"/>
      <c r="K82" s="44"/>
      <c r="L82" s="88"/>
      <c r="M82" s="11"/>
    </row>
    <row r="83" spans="1:13" x14ac:dyDescent="0.25">
      <c r="A83" s="44"/>
      <c r="B83" s="142"/>
      <c r="C83" s="156"/>
      <c r="D83" s="92"/>
      <c r="E83" s="151"/>
      <c r="F83" s="142"/>
      <c r="G83" s="87"/>
      <c r="H83" s="144"/>
      <c r="I83" s="143"/>
      <c r="J83" s="143"/>
      <c r="K83" s="44"/>
      <c r="L83" s="88"/>
      <c r="M83" s="11"/>
    </row>
    <row r="84" spans="1:13" x14ac:dyDescent="0.25">
      <c r="A84" s="44"/>
      <c r="B84" s="142"/>
      <c r="C84" s="156"/>
      <c r="D84" s="92"/>
      <c r="E84" s="151"/>
      <c r="F84" s="142"/>
      <c r="G84" s="87"/>
      <c r="H84" s="144"/>
      <c r="I84" s="143"/>
      <c r="J84" s="143"/>
      <c r="K84" s="44"/>
      <c r="L84" s="88"/>
      <c r="M84" s="11"/>
    </row>
    <row r="85" spans="1:13" x14ac:dyDescent="0.25">
      <c r="A85" s="44"/>
      <c r="B85" s="142"/>
      <c r="C85" s="156"/>
      <c r="D85" s="92"/>
      <c r="E85" s="151"/>
      <c r="F85" s="142"/>
      <c r="G85" s="87"/>
      <c r="H85" s="144"/>
      <c r="I85" s="143"/>
      <c r="J85" s="143"/>
      <c r="K85" s="44"/>
      <c r="L85" s="88"/>
      <c r="M85" s="11"/>
    </row>
    <row r="86" spans="1:13" x14ac:dyDescent="0.25">
      <c r="A86" s="44"/>
      <c r="B86" s="142"/>
      <c r="C86" s="156"/>
      <c r="D86" s="92"/>
      <c r="E86" s="151"/>
      <c r="F86" s="142"/>
      <c r="G86" s="87"/>
      <c r="H86" s="144"/>
      <c r="I86" s="143"/>
      <c r="J86" s="143"/>
      <c r="K86" s="44"/>
      <c r="L86" s="88"/>
      <c r="M86" s="11"/>
    </row>
    <row r="87" spans="1:13" x14ac:dyDescent="0.25">
      <c r="A87" s="44"/>
      <c r="B87" s="142"/>
      <c r="C87" s="156"/>
      <c r="D87" s="92"/>
      <c r="E87" s="151"/>
      <c r="F87" s="142"/>
      <c r="G87" s="87"/>
      <c r="H87" s="144"/>
      <c r="I87" s="143"/>
      <c r="J87" s="143"/>
      <c r="K87" s="44"/>
      <c r="L87" s="88"/>
      <c r="M87" s="11"/>
    </row>
    <row r="88" spans="1:13" x14ac:dyDescent="0.25">
      <c r="A88" s="44"/>
      <c r="B88" s="142"/>
      <c r="C88" s="156"/>
      <c r="D88" s="92"/>
      <c r="E88" s="151"/>
      <c r="F88" s="142"/>
      <c r="G88" s="87"/>
      <c r="H88" s="144"/>
      <c r="I88" s="143"/>
      <c r="J88" s="143"/>
      <c r="K88" s="44"/>
      <c r="L88" s="88"/>
      <c r="M88" s="11"/>
    </row>
    <row r="89" spans="1:13" x14ac:dyDescent="0.25">
      <c r="A89" s="44"/>
      <c r="B89" s="142"/>
      <c r="C89" s="156"/>
      <c r="D89" s="92"/>
      <c r="E89" s="151"/>
      <c r="F89" s="142"/>
      <c r="G89" s="87"/>
      <c r="H89" s="144"/>
      <c r="I89" s="143"/>
      <c r="J89" s="143"/>
      <c r="K89" s="44"/>
      <c r="L89" s="88"/>
      <c r="M89" s="11"/>
    </row>
    <row r="90" spans="1:13" x14ac:dyDescent="0.25">
      <c r="A90" s="44"/>
      <c r="B90" s="142"/>
      <c r="C90" s="156"/>
      <c r="D90" s="92"/>
      <c r="E90" s="151"/>
      <c r="F90" s="142"/>
      <c r="G90" s="87"/>
      <c r="H90" s="144"/>
      <c r="I90" s="143"/>
      <c r="J90" s="143"/>
      <c r="K90" s="44"/>
      <c r="L90" s="88"/>
      <c r="M90" s="11"/>
    </row>
    <row r="91" spans="1:13" x14ac:dyDescent="0.25">
      <c r="A91" s="44"/>
      <c r="B91" s="142"/>
      <c r="C91" s="156"/>
      <c r="D91" s="92"/>
      <c r="E91" s="151"/>
      <c r="F91" s="142"/>
      <c r="G91" s="87"/>
      <c r="H91" s="144"/>
      <c r="I91" s="143"/>
      <c r="J91" s="143"/>
      <c r="K91" s="44"/>
      <c r="L91" s="88"/>
      <c r="M91" s="11"/>
    </row>
    <row r="92" spans="1:13" x14ac:dyDescent="0.25">
      <c r="A92" s="44"/>
      <c r="B92" s="142"/>
      <c r="C92" s="156"/>
      <c r="D92" s="92"/>
      <c r="E92" s="151"/>
      <c r="F92" s="142"/>
      <c r="G92" s="87"/>
      <c r="H92" s="144"/>
      <c r="I92" s="143"/>
      <c r="J92" s="143"/>
      <c r="K92" s="44"/>
      <c r="L92" s="88"/>
      <c r="M92" s="11"/>
    </row>
    <row r="93" spans="1:13" x14ac:dyDescent="0.25">
      <c r="A93" s="44"/>
      <c r="B93" s="142"/>
      <c r="C93" s="156"/>
      <c r="D93" s="92"/>
      <c r="E93" s="151"/>
      <c r="F93" s="142"/>
      <c r="G93" s="87"/>
      <c r="H93" s="144"/>
      <c r="I93" s="143"/>
      <c r="J93" s="143"/>
      <c r="K93" s="44"/>
      <c r="L93" s="88"/>
      <c r="M93" s="11"/>
    </row>
    <row r="94" spans="1:13" x14ac:dyDescent="0.25">
      <c r="A94" s="44"/>
      <c r="B94" s="142"/>
      <c r="C94" s="156"/>
      <c r="D94" s="92"/>
      <c r="E94" s="151"/>
      <c r="F94" s="142"/>
      <c r="G94" s="87"/>
      <c r="H94" s="144"/>
      <c r="I94" s="143"/>
      <c r="J94" s="143"/>
      <c r="K94" s="44"/>
      <c r="L94" s="88"/>
      <c r="M94" s="11"/>
    </row>
    <row r="95" spans="1:13" x14ac:dyDescent="0.25">
      <c r="A95" s="44"/>
      <c r="B95" s="142"/>
      <c r="C95" s="156"/>
      <c r="D95" s="92"/>
      <c r="E95" s="151"/>
      <c r="F95" s="142"/>
      <c r="G95" s="87"/>
      <c r="H95" s="144"/>
      <c r="I95" s="143"/>
      <c r="J95" s="143"/>
      <c r="K95" s="44"/>
      <c r="L95" s="88"/>
      <c r="M95" s="11"/>
    </row>
    <row r="96" spans="1:13" x14ac:dyDescent="0.25">
      <c r="A96" s="44"/>
      <c r="B96" s="142"/>
      <c r="C96" s="156"/>
      <c r="D96" s="92"/>
      <c r="E96" s="151"/>
      <c r="F96" s="142"/>
      <c r="G96" s="87"/>
      <c r="H96" s="144"/>
      <c r="I96" s="143"/>
      <c r="J96" s="143"/>
      <c r="K96" s="44"/>
      <c r="L96" s="88"/>
      <c r="M96" s="11"/>
    </row>
    <row r="97" spans="1:13" x14ac:dyDescent="0.25">
      <c r="A97" s="44"/>
      <c r="B97" s="142"/>
      <c r="C97" s="156"/>
      <c r="D97" s="92"/>
      <c r="E97" s="151"/>
      <c r="F97" s="142"/>
      <c r="G97" s="87"/>
      <c r="H97" s="144"/>
      <c r="I97" s="143"/>
      <c r="J97" s="143"/>
      <c r="K97" s="44"/>
      <c r="L97" s="88"/>
      <c r="M97" s="11"/>
    </row>
    <row r="98" spans="1:13" x14ac:dyDescent="0.25">
      <c r="A98" s="44"/>
      <c r="B98" s="142"/>
      <c r="C98" s="156"/>
      <c r="D98" s="92"/>
      <c r="E98" s="151"/>
      <c r="F98" s="142"/>
      <c r="G98" s="87"/>
      <c r="H98" s="144"/>
      <c r="I98" s="143"/>
      <c r="J98" s="143"/>
      <c r="K98" s="44"/>
      <c r="L98" s="88"/>
      <c r="M98" s="11"/>
    </row>
    <row r="99" spans="1:13" x14ac:dyDescent="0.25">
      <c r="A99" s="44"/>
      <c r="B99" s="142"/>
      <c r="C99" s="156"/>
      <c r="D99" s="92"/>
      <c r="E99" s="151"/>
      <c r="F99" s="142"/>
      <c r="G99" s="87"/>
      <c r="H99" s="144"/>
      <c r="I99" s="143"/>
      <c r="J99" s="143"/>
      <c r="K99" s="44"/>
      <c r="L99" s="88"/>
      <c r="M99" s="11"/>
    </row>
    <row r="100" spans="1:13" x14ac:dyDescent="0.25">
      <c r="A100" s="44"/>
      <c r="B100" s="142"/>
      <c r="C100" s="156"/>
      <c r="D100" s="92"/>
      <c r="E100" s="151"/>
      <c r="F100" s="142"/>
      <c r="G100" s="87"/>
      <c r="H100" s="144"/>
      <c r="I100" s="143"/>
      <c r="J100" s="143"/>
      <c r="K100" s="44"/>
      <c r="L100" s="88"/>
      <c r="M100" s="11"/>
    </row>
    <row r="101" spans="1:13" x14ac:dyDescent="0.25">
      <c r="A101" s="44"/>
      <c r="B101" s="142"/>
      <c r="C101" s="156"/>
      <c r="D101" s="92"/>
      <c r="E101" s="151"/>
      <c r="F101" s="142"/>
      <c r="G101" s="87"/>
      <c r="H101" s="144"/>
      <c r="I101" s="143"/>
      <c r="J101" s="143"/>
      <c r="K101" s="44"/>
      <c r="L101" s="88"/>
      <c r="M101" s="11"/>
    </row>
    <row r="102" spans="1:13" x14ac:dyDescent="0.25">
      <c r="A102" s="44"/>
      <c r="B102" s="142"/>
      <c r="C102" s="156"/>
      <c r="D102" s="92"/>
      <c r="E102" s="151"/>
      <c r="F102" s="142"/>
      <c r="G102" s="87"/>
      <c r="H102" s="144"/>
      <c r="I102" s="143"/>
      <c r="J102" s="143"/>
      <c r="K102" s="44"/>
      <c r="L102" s="88"/>
      <c r="M102" s="11"/>
    </row>
    <row r="103" spans="1:13" x14ac:dyDescent="0.25">
      <c r="A103" s="44"/>
      <c r="B103" s="142"/>
      <c r="C103" s="156"/>
      <c r="D103" s="92"/>
      <c r="E103" s="151"/>
      <c r="F103" s="142"/>
      <c r="G103" s="87"/>
      <c r="H103" s="144"/>
      <c r="I103" s="143"/>
      <c r="J103" s="143"/>
      <c r="K103" s="44"/>
      <c r="L103" s="88"/>
      <c r="M103" s="11"/>
    </row>
    <row r="104" spans="1:13" x14ac:dyDescent="0.25">
      <c r="A104" s="44"/>
      <c r="B104" s="142"/>
      <c r="C104" s="156"/>
      <c r="D104" s="92"/>
      <c r="E104" s="151"/>
      <c r="F104" s="142"/>
      <c r="G104" s="87"/>
      <c r="H104" s="144"/>
      <c r="I104" s="143"/>
      <c r="J104" s="143"/>
      <c r="K104" s="44"/>
      <c r="L104" s="88"/>
      <c r="M104" s="11"/>
    </row>
    <row r="105" spans="1:13" x14ac:dyDescent="0.25">
      <c r="A105" s="44"/>
      <c r="B105" s="142"/>
      <c r="C105" s="156"/>
      <c r="D105" s="92"/>
      <c r="E105" s="151"/>
      <c r="F105" s="142"/>
      <c r="G105" s="87"/>
      <c r="H105" s="144"/>
      <c r="I105" s="143"/>
      <c r="J105" s="143"/>
      <c r="K105" s="44"/>
      <c r="L105" s="88"/>
      <c r="M105" s="11"/>
    </row>
    <row r="106" spans="1:13" x14ac:dyDescent="0.25">
      <c r="A106" s="44"/>
      <c r="B106" s="142"/>
      <c r="C106" s="156"/>
      <c r="D106" s="92"/>
      <c r="E106" s="151"/>
      <c r="F106" s="142"/>
      <c r="G106" s="87"/>
      <c r="H106" s="144"/>
      <c r="I106" s="143"/>
      <c r="J106" s="143"/>
      <c r="K106" s="44"/>
      <c r="L106" s="88"/>
      <c r="M106" s="11"/>
    </row>
    <row r="107" spans="1:13" x14ac:dyDescent="0.25">
      <c r="A107" s="44"/>
      <c r="B107" s="142"/>
      <c r="C107" s="156"/>
      <c r="D107" s="92"/>
      <c r="E107" s="151"/>
      <c r="F107" s="142"/>
      <c r="G107" s="87"/>
      <c r="H107" s="144"/>
      <c r="I107" s="143"/>
      <c r="J107" s="143"/>
      <c r="K107" s="44"/>
      <c r="L107" s="88"/>
      <c r="M107" s="11"/>
    </row>
    <row r="108" spans="1:13" x14ac:dyDescent="0.25">
      <c r="A108" s="44"/>
      <c r="B108" s="142"/>
      <c r="C108" s="156"/>
      <c r="D108" s="92"/>
      <c r="E108" s="151"/>
      <c r="F108" s="142"/>
      <c r="G108" s="87"/>
      <c r="H108" s="144"/>
      <c r="I108" s="143"/>
      <c r="J108" s="143"/>
      <c r="K108" s="44"/>
      <c r="L108" s="88"/>
      <c r="M108" s="11"/>
    </row>
    <row r="109" spans="1:13" x14ac:dyDescent="0.25">
      <c r="A109" s="44"/>
      <c r="B109" s="142"/>
      <c r="C109" s="156"/>
      <c r="D109" s="92"/>
      <c r="E109" s="151"/>
      <c r="F109" s="142"/>
      <c r="G109" s="87"/>
      <c r="H109" s="144"/>
      <c r="I109" s="143"/>
      <c r="J109" s="143"/>
      <c r="K109" s="44"/>
      <c r="L109" s="88"/>
      <c r="M109" s="11"/>
    </row>
    <row r="110" spans="1:13" x14ac:dyDescent="0.25">
      <c r="A110" s="44"/>
      <c r="B110" s="142"/>
      <c r="C110" s="156"/>
      <c r="D110" s="92"/>
      <c r="E110" s="151"/>
      <c r="F110" s="142"/>
      <c r="G110" s="87"/>
      <c r="H110" s="144"/>
      <c r="I110" s="143"/>
      <c r="J110" s="143"/>
      <c r="K110" s="44"/>
      <c r="L110" s="88"/>
      <c r="M110" s="11"/>
    </row>
    <row r="111" spans="1:13" x14ac:dyDescent="0.25">
      <c r="A111" s="44"/>
      <c r="B111" s="142"/>
      <c r="C111" s="156"/>
      <c r="D111" s="92"/>
      <c r="E111" s="151"/>
      <c r="F111" s="142"/>
      <c r="G111" s="87"/>
      <c r="H111" s="144"/>
      <c r="I111" s="143"/>
      <c r="J111" s="143"/>
      <c r="K111" s="44"/>
      <c r="L111" s="88"/>
      <c r="M111" s="11"/>
    </row>
    <row r="112" spans="1:13" x14ac:dyDescent="0.25">
      <c r="A112" s="44"/>
      <c r="B112" s="142"/>
      <c r="C112" s="156"/>
      <c r="D112" s="92"/>
      <c r="E112" s="151"/>
      <c r="F112" s="142"/>
      <c r="G112" s="87"/>
      <c r="H112" s="144"/>
      <c r="I112" s="143"/>
      <c r="J112" s="143"/>
      <c r="K112" s="44"/>
      <c r="L112" s="88"/>
      <c r="M112" s="11"/>
    </row>
    <row r="113" spans="1:13" x14ac:dyDescent="0.25">
      <c r="A113" s="44"/>
      <c r="B113" s="142"/>
      <c r="C113" s="156"/>
      <c r="D113" s="92"/>
      <c r="E113" s="151"/>
      <c r="F113" s="142"/>
      <c r="G113" s="87"/>
      <c r="H113" s="144"/>
      <c r="I113" s="143"/>
      <c r="J113" s="143"/>
      <c r="K113" s="44"/>
      <c r="L113" s="88"/>
      <c r="M113" s="11"/>
    </row>
    <row r="114" spans="1:13" x14ac:dyDescent="0.25">
      <c r="A114" s="44"/>
      <c r="B114" s="142"/>
      <c r="C114" s="156"/>
      <c r="D114" s="92"/>
      <c r="E114" s="151"/>
      <c r="F114" s="142"/>
      <c r="G114" s="87"/>
      <c r="H114" s="144"/>
      <c r="I114" s="143"/>
      <c r="J114" s="143"/>
      <c r="K114" s="44"/>
      <c r="L114" s="88"/>
      <c r="M114" s="11"/>
    </row>
    <row r="115" spans="1:13" x14ac:dyDescent="0.25">
      <c r="A115" s="44"/>
      <c r="B115" s="142"/>
      <c r="C115" s="156"/>
      <c r="D115" s="92"/>
      <c r="E115" s="151"/>
      <c r="F115" s="142"/>
      <c r="G115" s="87"/>
      <c r="H115" s="144"/>
      <c r="I115" s="143"/>
      <c r="J115" s="143"/>
      <c r="K115" s="44"/>
      <c r="L115" s="88"/>
      <c r="M115" s="11"/>
    </row>
    <row r="116" spans="1:13" x14ac:dyDescent="0.25">
      <c r="A116" s="44"/>
      <c r="B116" s="142"/>
      <c r="C116" s="156"/>
      <c r="D116" s="92"/>
      <c r="E116" s="151"/>
      <c r="F116" s="142"/>
      <c r="G116" s="87"/>
      <c r="H116" s="144"/>
      <c r="I116" s="143"/>
      <c r="J116" s="143"/>
      <c r="K116" s="44"/>
      <c r="L116" s="88"/>
      <c r="M116" s="11"/>
    </row>
    <row r="117" spans="1:13" x14ac:dyDescent="0.25">
      <c r="A117" s="44"/>
      <c r="B117" s="142"/>
      <c r="C117" s="156"/>
      <c r="D117" s="92"/>
      <c r="E117" s="151"/>
      <c r="F117" s="142"/>
      <c r="G117" s="87"/>
      <c r="H117" s="144"/>
      <c r="I117" s="143"/>
      <c r="J117" s="143"/>
      <c r="K117" s="44"/>
      <c r="L117" s="88"/>
      <c r="M117" s="11"/>
    </row>
    <row r="118" spans="1:13" x14ac:dyDescent="0.25">
      <c r="A118" s="44"/>
      <c r="B118" s="142"/>
      <c r="C118" s="156"/>
      <c r="D118" s="92"/>
      <c r="E118" s="151"/>
      <c r="F118" s="142"/>
      <c r="G118" s="87"/>
      <c r="H118" s="144"/>
      <c r="I118" s="143"/>
      <c r="J118" s="143"/>
      <c r="K118" s="44"/>
      <c r="L118" s="88"/>
      <c r="M118" s="11"/>
    </row>
    <row r="119" spans="1:13" x14ac:dyDescent="0.25">
      <c r="A119" s="44"/>
      <c r="B119" s="142"/>
      <c r="C119" s="156"/>
      <c r="D119" s="92"/>
      <c r="E119" s="151"/>
      <c r="F119" s="142"/>
      <c r="G119" s="87"/>
      <c r="H119" s="144"/>
      <c r="I119" s="143"/>
      <c r="J119" s="143"/>
      <c r="K119" s="44"/>
      <c r="L119" s="88"/>
      <c r="M119" s="11"/>
    </row>
    <row r="120" spans="1:13" x14ac:dyDescent="0.25">
      <c r="A120" s="44"/>
      <c r="B120" s="142"/>
      <c r="C120" s="156"/>
      <c r="D120" s="92"/>
      <c r="E120" s="151"/>
      <c r="F120" s="142"/>
      <c r="G120" s="87"/>
      <c r="H120" s="144"/>
      <c r="I120" s="143"/>
      <c r="J120" s="143"/>
      <c r="K120" s="44"/>
      <c r="L120" s="88"/>
      <c r="M120" s="11"/>
    </row>
    <row r="121" spans="1:13" x14ac:dyDescent="0.25">
      <c r="A121" s="44"/>
      <c r="B121" s="142"/>
      <c r="C121" s="156"/>
      <c r="D121" s="92"/>
      <c r="E121" s="151"/>
      <c r="F121" s="142"/>
      <c r="G121" s="87"/>
      <c r="H121" s="144"/>
      <c r="I121" s="143"/>
      <c r="J121" s="143"/>
      <c r="K121" s="44"/>
      <c r="L121" s="88"/>
      <c r="M121" s="11"/>
    </row>
    <row r="122" spans="1:13" x14ac:dyDescent="0.25">
      <c r="A122" s="44"/>
      <c r="B122" s="142"/>
      <c r="C122" s="156"/>
      <c r="D122" s="92"/>
      <c r="E122" s="151"/>
      <c r="F122" s="142"/>
      <c r="G122" s="87"/>
      <c r="H122" s="144"/>
      <c r="I122" s="143"/>
      <c r="J122" s="143"/>
      <c r="K122" s="44"/>
      <c r="L122" s="88"/>
      <c r="M122" s="11"/>
    </row>
    <row r="123" spans="1:13" x14ac:dyDescent="0.25">
      <c r="A123" s="44"/>
      <c r="B123" s="142"/>
      <c r="C123" s="156"/>
      <c r="D123" s="92"/>
      <c r="E123" s="151"/>
      <c r="F123" s="142"/>
      <c r="G123" s="87"/>
      <c r="H123" s="144"/>
      <c r="I123" s="143"/>
      <c r="J123" s="143"/>
      <c r="K123" s="44"/>
      <c r="L123" s="88"/>
      <c r="M123" s="11"/>
    </row>
    <row r="124" spans="1:13" x14ac:dyDescent="0.25">
      <c r="A124" s="44"/>
      <c r="B124" s="142"/>
      <c r="C124" s="156"/>
      <c r="D124" s="92"/>
      <c r="E124" s="151"/>
      <c r="F124" s="142"/>
      <c r="G124" s="87"/>
      <c r="H124" s="144"/>
      <c r="I124" s="143"/>
      <c r="J124" s="143"/>
      <c r="K124" s="44"/>
      <c r="L124" s="88"/>
      <c r="M124" s="11"/>
    </row>
    <row r="125" spans="1:13" x14ac:dyDescent="0.25">
      <c r="A125" s="44"/>
      <c r="B125" s="142"/>
      <c r="C125" s="156"/>
      <c r="D125" s="92"/>
      <c r="E125" s="151"/>
      <c r="F125" s="142"/>
      <c r="G125" s="87"/>
      <c r="H125" s="144"/>
      <c r="I125" s="143"/>
      <c r="J125" s="143"/>
      <c r="K125" s="44"/>
      <c r="L125" s="88"/>
      <c r="M125" s="11"/>
    </row>
    <row r="126" spans="1:13" x14ac:dyDescent="0.25">
      <c r="A126" s="44"/>
      <c r="B126" s="142"/>
      <c r="C126" s="156"/>
      <c r="D126" s="92"/>
      <c r="E126" s="151"/>
      <c r="F126" s="142"/>
      <c r="G126" s="87"/>
      <c r="H126" s="144"/>
      <c r="I126" s="143"/>
      <c r="J126" s="143"/>
      <c r="K126" s="44"/>
      <c r="L126" s="88"/>
      <c r="M126" s="11"/>
    </row>
    <row r="127" spans="1:13" x14ac:dyDescent="0.25">
      <c r="A127" s="44"/>
      <c r="B127" s="142"/>
      <c r="C127" s="156"/>
      <c r="D127" s="92"/>
      <c r="E127" s="151"/>
      <c r="F127" s="142"/>
      <c r="G127" s="87"/>
      <c r="H127" s="144"/>
      <c r="I127" s="143"/>
      <c r="J127" s="143"/>
      <c r="K127" s="44"/>
      <c r="L127" s="88"/>
      <c r="M127" s="11"/>
    </row>
    <row r="128" spans="1:13" x14ac:dyDescent="0.25">
      <c r="A128" s="44"/>
      <c r="B128" s="142"/>
      <c r="C128" s="156"/>
      <c r="D128" s="92"/>
      <c r="E128" s="151"/>
      <c r="F128" s="142"/>
      <c r="G128" s="87"/>
      <c r="H128" s="144"/>
      <c r="I128" s="143"/>
      <c r="J128" s="143"/>
      <c r="K128" s="44"/>
      <c r="L128" s="88"/>
      <c r="M128" s="11"/>
    </row>
    <row r="129" spans="1:13" x14ac:dyDescent="0.25">
      <c r="A129" s="44"/>
      <c r="B129" s="142"/>
      <c r="C129" s="156"/>
      <c r="D129" s="92"/>
      <c r="E129" s="151"/>
      <c r="F129" s="142"/>
      <c r="G129" s="87"/>
      <c r="H129" s="144"/>
      <c r="I129" s="143"/>
      <c r="J129" s="143"/>
      <c r="K129" s="44"/>
      <c r="L129" s="88"/>
      <c r="M129" s="11"/>
    </row>
    <row r="130" spans="1:13" x14ac:dyDescent="0.25">
      <c r="A130" s="44"/>
      <c r="B130" s="142"/>
      <c r="C130" s="156"/>
      <c r="D130" s="92"/>
      <c r="E130" s="151"/>
      <c r="F130" s="142"/>
      <c r="G130" s="87"/>
      <c r="H130" s="144"/>
      <c r="I130" s="143"/>
      <c r="J130" s="143"/>
      <c r="K130" s="44"/>
      <c r="L130" s="88"/>
      <c r="M130" s="11"/>
    </row>
    <row r="131" spans="1:13" x14ac:dyDescent="0.25">
      <c r="A131" s="44"/>
      <c r="B131" s="142"/>
      <c r="C131" s="156"/>
      <c r="D131" s="92"/>
      <c r="E131" s="151"/>
      <c r="F131" s="142"/>
      <c r="G131" s="87"/>
      <c r="H131" s="144"/>
      <c r="I131" s="143"/>
      <c r="J131" s="143"/>
      <c r="K131" s="44"/>
      <c r="L131" s="88"/>
      <c r="M131" s="11"/>
    </row>
    <row r="132" spans="1:13" x14ac:dyDescent="0.25">
      <c r="A132" s="44"/>
      <c r="B132" s="142"/>
      <c r="C132" s="156"/>
      <c r="D132" s="92"/>
      <c r="E132" s="151"/>
      <c r="F132" s="142"/>
      <c r="G132" s="87"/>
      <c r="H132" s="144"/>
      <c r="I132" s="143"/>
      <c r="J132" s="143"/>
      <c r="K132" s="44"/>
      <c r="L132" s="88"/>
      <c r="M132" s="11"/>
    </row>
    <row r="133" spans="1:13" x14ac:dyDescent="0.25">
      <c r="A133" s="44"/>
      <c r="B133" s="142"/>
      <c r="C133" s="156"/>
      <c r="D133" s="92"/>
      <c r="E133" s="151"/>
      <c r="F133" s="142"/>
      <c r="G133" s="87"/>
      <c r="H133" s="144"/>
      <c r="I133" s="143"/>
      <c r="J133" s="143"/>
      <c r="K133" s="44"/>
      <c r="L133" s="88"/>
      <c r="M133" s="11"/>
    </row>
    <row r="134" spans="1:13" x14ac:dyDescent="0.25">
      <c r="A134" s="44"/>
      <c r="B134" s="142"/>
      <c r="C134" s="156"/>
      <c r="D134" s="92"/>
      <c r="E134" s="151"/>
      <c r="F134" s="142"/>
      <c r="G134" s="87"/>
      <c r="H134" s="144"/>
      <c r="I134" s="143"/>
      <c r="J134" s="143"/>
      <c r="K134" s="44"/>
      <c r="L134" s="88"/>
      <c r="M134" s="11"/>
    </row>
    <row r="135" spans="1:13" x14ac:dyDescent="0.25">
      <c r="A135" s="44"/>
      <c r="B135" s="142"/>
      <c r="C135" s="156"/>
      <c r="D135" s="92"/>
      <c r="E135" s="151"/>
      <c r="F135" s="142"/>
      <c r="G135" s="87"/>
      <c r="H135" s="144"/>
      <c r="I135" s="143"/>
      <c r="J135" s="143"/>
      <c r="K135" s="44"/>
      <c r="L135" s="88"/>
      <c r="M135" s="11"/>
    </row>
    <row r="136" spans="1:13" x14ac:dyDescent="0.25">
      <c r="A136" s="44"/>
      <c r="B136" s="142"/>
      <c r="C136" s="156"/>
      <c r="D136" s="92"/>
      <c r="E136" s="151"/>
      <c r="F136" s="142"/>
      <c r="G136" s="87"/>
      <c r="H136" s="144"/>
      <c r="I136" s="143"/>
      <c r="J136" s="143"/>
      <c r="K136" s="44"/>
      <c r="L136" s="88"/>
      <c r="M136" s="11"/>
    </row>
    <row r="137" spans="1:13" x14ac:dyDescent="0.25">
      <c r="A137" s="44"/>
      <c r="B137" s="142"/>
      <c r="C137" s="156"/>
      <c r="D137" s="92"/>
      <c r="E137" s="151"/>
      <c r="F137" s="142"/>
      <c r="G137" s="87"/>
      <c r="H137" s="144"/>
      <c r="I137" s="143"/>
      <c r="J137" s="143"/>
      <c r="K137" s="44"/>
      <c r="L137" s="88"/>
      <c r="M137" s="11"/>
    </row>
    <row r="138" spans="1:13" x14ac:dyDescent="0.25">
      <c r="A138" s="44"/>
      <c r="B138" s="142"/>
      <c r="C138" s="156"/>
      <c r="D138" s="92"/>
      <c r="E138" s="151"/>
      <c r="F138" s="142"/>
      <c r="G138" s="87"/>
      <c r="H138" s="144"/>
      <c r="I138" s="143"/>
      <c r="J138" s="143"/>
      <c r="K138" s="44"/>
      <c r="L138" s="88"/>
      <c r="M138" s="11"/>
    </row>
    <row r="139" spans="1:13" x14ac:dyDescent="0.25">
      <c r="A139" s="44"/>
      <c r="B139" s="142"/>
      <c r="C139" s="156"/>
      <c r="D139" s="92"/>
      <c r="E139" s="151"/>
      <c r="F139" s="142"/>
      <c r="G139" s="87"/>
      <c r="H139" s="144"/>
      <c r="I139" s="143"/>
      <c r="J139" s="143"/>
      <c r="K139" s="44"/>
      <c r="L139" s="88"/>
      <c r="M139" s="11"/>
    </row>
    <row r="140" spans="1:13" x14ac:dyDescent="0.25">
      <c r="A140" s="44"/>
      <c r="B140" s="142"/>
      <c r="C140" s="156"/>
      <c r="D140" s="92"/>
      <c r="E140" s="151"/>
      <c r="F140" s="142"/>
      <c r="G140" s="87"/>
      <c r="H140" s="144"/>
      <c r="I140" s="143"/>
      <c r="J140" s="143"/>
      <c r="K140" s="44"/>
      <c r="L140" s="88"/>
      <c r="M140" s="11"/>
    </row>
    <row r="141" spans="1:13" x14ac:dyDescent="0.25">
      <c r="A141" s="44"/>
      <c r="B141" s="142"/>
      <c r="C141" s="156"/>
      <c r="D141" s="92"/>
      <c r="E141" s="151"/>
      <c r="F141" s="142"/>
      <c r="G141" s="87"/>
      <c r="H141" s="144"/>
      <c r="I141" s="143"/>
      <c r="J141" s="143"/>
      <c r="K141" s="44"/>
      <c r="L141" s="88"/>
      <c r="M141" s="11"/>
    </row>
    <row r="142" spans="1:13" x14ac:dyDescent="0.25">
      <c r="A142" s="44"/>
      <c r="B142" s="142"/>
      <c r="C142" s="156"/>
      <c r="D142" s="92"/>
      <c r="E142" s="151"/>
      <c r="F142" s="142"/>
      <c r="G142" s="87"/>
      <c r="H142" s="144"/>
      <c r="I142" s="143"/>
      <c r="J142" s="143"/>
      <c r="K142" s="44"/>
      <c r="L142" s="88"/>
      <c r="M142" s="11"/>
    </row>
    <row r="143" spans="1:13" x14ac:dyDescent="0.25">
      <c r="A143" s="44"/>
      <c r="B143" s="142"/>
      <c r="C143" s="156"/>
      <c r="D143" s="92"/>
      <c r="E143" s="151"/>
      <c r="F143" s="142"/>
      <c r="G143" s="87"/>
      <c r="H143" s="144"/>
      <c r="I143" s="143"/>
      <c r="J143" s="143"/>
      <c r="K143" s="44"/>
      <c r="L143" s="88"/>
      <c r="M143" s="11"/>
    </row>
    <row r="144" spans="1:13" x14ac:dyDescent="0.25">
      <c r="A144" s="44"/>
      <c r="B144" s="142"/>
      <c r="C144" s="156"/>
      <c r="D144" s="92"/>
      <c r="E144" s="151"/>
      <c r="F144" s="142"/>
      <c r="G144" s="87"/>
      <c r="H144" s="144"/>
      <c r="I144" s="143"/>
      <c r="J144" s="143"/>
      <c r="K144" s="44"/>
      <c r="L144" s="88"/>
      <c r="M144" s="11"/>
    </row>
    <row r="145" spans="1:13" x14ac:dyDescent="0.25">
      <c r="A145" s="44"/>
      <c r="B145" s="142"/>
      <c r="C145" s="156"/>
      <c r="D145" s="92"/>
      <c r="E145" s="151"/>
      <c r="F145" s="142"/>
      <c r="G145" s="87"/>
      <c r="H145" s="144"/>
      <c r="I145" s="143"/>
      <c r="J145" s="143"/>
      <c r="K145" s="44"/>
      <c r="L145" s="88"/>
      <c r="M145" s="11"/>
    </row>
    <row r="146" spans="1:13" x14ac:dyDescent="0.25">
      <c r="A146" s="44"/>
      <c r="B146" s="142"/>
      <c r="C146" s="156"/>
      <c r="D146" s="92"/>
      <c r="E146" s="151"/>
      <c r="F146" s="142"/>
      <c r="G146" s="87"/>
      <c r="H146" s="144"/>
      <c r="I146" s="143"/>
      <c r="J146" s="143"/>
      <c r="K146" s="44"/>
      <c r="L146" s="88"/>
      <c r="M146" s="11"/>
    </row>
    <row r="147" spans="1:13" x14ac:dyDescent="0.25">
      <c r="A147" s="44"/>
      <c r="B147" s="142"/>
      <c r="C147" s="156"/>
      <c r="D147" s="92"/>
      <c r="E147" s="151"/>
      <c r="F147" s="142"/>
      <c r="G147" s="87"/>
      <c r="H147" s="144"/>
      <c r="I147" s="143"/>
      <c r="J147" s="143"/>
      <c r="K147" s="44"/>
      <c r="L147" s="88"/>
      <c r="M147" s="11"/>
    </row>
    <row r="148" spans="1:13" x14ac:dyDescent="0.25">
      <c r="A148" s="44"/>
      <c r="B148" s="142"/>
      <c r="C148" s="156"/>
      <c r="D148" s="92"/>
      <c r="E148" s="151"/>
      <c r="F148" s="142"/>
      <c r="G148" s="87"/>
      <c r="H148" s="144"/>
      <c r="I148" s="143"/>
      <c r="J148" s="143"/>
      <c r="K148" s="44"/>
      <c r="L148" s="88"/>
      <c r="M148" s="11"/>
    </row>
    <row r="149" spans="1:13" x14ac:dyDescent="0.25">
      <c r="A149" s="44"/>
      <c r="B149" s="142"/>
      <c r="C149" s="156"/>
      <c r="D149" s="92"/>
      <c r="E149" s="151"/>
      <c r="F149" s="142"/>
      <c r="G149" s="87"/>
      <c r="H149" s="144"/>
      <c r="I149" s="143"/>
      <c r="J149" s="143"/>
      <c r="K149" s="44"/>
      <c r="L149" s="88"/>
      <c r="M149" s="11"/>
    </row>
    <row r="150" spans="1:13" x14ac:dyDescent="0.25">
      <c r="A150" s="44"/>
      <c r="B150" s="142"/>
      <c r="C150" s="156"/>
      <c r="D150" s="92"/>
      <c r="E150" s="151"/>
      <c r="F150" s="142"/>
      <c r="G150" s="87"/>
      <c r="H150" s="144"/>
      <c r="I150" s="143"/>
      <c r="J150" s="143"/>
      <c r="K150" s="44"/>
      <c r="L150" s="88"/>
      <c r="M150" s="11"/>
    </row>
    <row r="151" spans="1:13" x14ac:dyDescent="0.25">
      <c r="A151" s="44"/>
      <c r="B151" s="142"/>
      <c r="C151" s="156"/>
      <c r="D151" s="92"/>
      <c r="E151" s="151"/>
      <c r="F151" s="142"/>
      <c r="G151" s="87"/>
      <c r="H151" s="144"/>
      <c r="I151" s="143"/>
      <c r="J151" s="143"/>
      <c r="K151" s="44"/>
      <c r="L151" s="88"/>
      <c r="M151" s="11"/>
    </row>
    <row r="152" spans="1:13" x14ac:dyDescent="0.25">
      <c r="A152" s="44"/>
      <c r="B152" s="142"/>
      <c r="C152" s="156"/>
      <c r="D152" s="92"/>
      <c r="E152" s="151"/>
      <c r="F152" s="142"/>
      <c r="G152" s="87"/>
      <c r="H152" s="144"/>
      <c r="I152" s="143"/>
      <c r="J152" s="143"/>
      <c r="K152" s="44"/>
      <c r="L152" s="88"/>
      <c r="M152" s="11"/>
    </row>
    <row r="153" spans="1:13" x14ac:dyDescent="0.25">
      <c r="A153" s="44"/>
      <c r="B153" s="142"/>
      <c r="C153" s="156"/>
      <c r="D153" s="92"/>
      <c r="E153" s="151"/>
      <c r="F153" s="142"/>
      <c r="G153" s="87"/>
      <c r="H153" s="144"/>
      <c r="I153" s="143"/>
      <c r="J153" s="143"/>
      <c r="K153" s="44"/>
      <c r="L153" s="88"/>
      <c r="M153" s="11"/>
    </row>
    <row r="154" spans="1:13" x14ac:dyDescent="0.25">
      <c r="A154" s="44"/>
      <c r="B154" s="142"/>
      <c r="C154" s="156"/>
      <c r="D154" s="92"/>
      <c r="E154" s="151"/>
      <c r="F154" s="142"/>
      <c r="G154" s="87"/>
      <c r="H154" s="144"/>
      <c r="I154" s="143"/>
      <c r="J154" s="143"/>
      <c r="K154" s="44"/>
      <c r="L154" s="88"/>
      <c r="M154" s="11"/>
    </row>
    <row r="155" spans="1:13" x14ac:dyDescent="0.25">
      <c r="A155" s="44"/>
      <c r="B155" s="142"/>
      <c r="C155" s="156"/>
      <c r="D155" s="92"/>
      <c r="E155" s="151"/>
      <c r="F155" s="142"/>
      <c r="G155" s="87"/>
      <c r="H155" s="144"/>
      <c r="I155" s="143"/>
      <c r="J155" s="143"/>
      <c r="K155" s="44"/>
      <c r="L155" s="88"/>
      <c r="M155" s="11"/>
    </row>
    <row r="156" spans="1:13" x14ac:dyDescent="0.25">
      <c r="A156" s="44"/>
      <c r="B156" s="142"/>
      <c r="C156" s="156"/>
      <c r="D156" s="92"/>
      <c r="E156" s="151"/>
      <c r="F156" s="142"/>
      <c r="G156" s="87"/>
      <c r="H156" s="144"/>
      <c r="I156" s="143"/>
      <c r="J156" s="143"/>
      <c r="K156" s="44"/>
      <c r="L156" s="88"/>
      <c r="M156" s="11"/>
    </row>
    <row r="157" spans="1:13" x14ac:dyDescent="0.25">
      <c r="A157" s="44"/>
      <c r="B157" s="142"/>
      <c r="C157" s="156"/>
      <c r="D157" s="92"/>
      <c r="E157" s="151"/>
      <c r="F157" s="142"/>
      <c r="G157" s="87"/>
      <c r="H157" s="144"/>
      <c r="I157" s="143"/>
      <c r="J157" s="143"/>
      <c r="K157" s="44"/>
      <c r="L157" s="88"/>
      <c r="M157" s="11"/>
    </row>
    <row r="158" spans="1:13" x14ac:dyDescent="0.25">
      <c r="A158" s="44"/>
      <c r="B158" s="142"/>
      <c r="C158" s="156"/>
      <c r="D158" s="92"/>
      <c r="E158" s="151"/>
      <c r="F158" s="142"/>
      <c r="G158" s="87"/>
      <c r="H158" s="144"/>
      <c r="I158" s="143"/>
      <c r="J158" s="143"/>
      <c r="K158" s="44"/>
      <c r="L158" s="88"/>
      <c r="M158" s="11"/>
    </row>
    <row r="159" spans="1:13" x14ac:dyDescent="0.25">
      <c r="A159" s="44"/>
      <c r="B159" s="142"/>
      <c r="C159" s="156"/>
      <c r="D159" s="92"/>
      <c r="E159" s="151"/>
      <c r="F159" s="142"/>
      <c r="G159" s="87"/>
      <c r="H159" s="144"/>
      <c r="I159" s="143"/>
      <c r="J159" s="143"/>
      <c r="K159" s="44"/>
      <c r="L159" s="88"/>
      <c r="M159" s="11"/>
    </row>
    <row r="160" spans="1:13" x14ac:dyDescent="0.25">
      <c r="A160" s="44"/>
      <c r="B160" s="142"/>
      <c r="C160" s="156"/>
      <c r="D160" s="92"/>
      <c r="E160" s="151"/>
      <c r="F160" s="142"/>
      <c r="G160" s="87"/>
      <c r="H160" s="144"/>
      <c r="I160" s="143"/>
      <c r="J160" s="143"/>
      <c r="K160" s="44"/>
      <c r="L160" s="88"/>
      <c r="M160" s="11"/>
    </row>
    <row r="161" spans="1:13" x14ac:dyDescent="0.25">
      <c r="A161" s="44"/>
      <c r="B161" s="142"/>
      <c r="C161" s="156"/>
      <c r="D161" s="92"/>
      <c r="E161" s="151"/>
      <c r="F161" s="142"/>
      <c r="G161" s="87"/>
      <c r="H161" s="144"/>
      <c r="I161" s="143"/>
      <c r="J161" s="143"/>
      <c r="K161" s="44"/>
      <c r="L161" s="88"/>
      <c r="M161" s="11"/>
    </row>
    <row r="162" spans="1:13" x14ac:dyDescent="0.25">
      <c r="A162" s="44"/>
      <c r="B162" s="142"/>
      <c r="C162" s="156"/>
      <c r="D162" s="92"/>
      <c r="E162" s="151"/>
      <c r="F162" s="142"/>
      <c r="G162" s="87"/>
      <c r="H162" s="144"/>
      <c r="I162" s="143"/>
      <c r="J162" s="143"/>
      <c r="K162" s="44"/>
      <c r="L162" s="88"/>
      <c r="M162" s="11"/>
    </row>
    <row r="163" spans="1:13" x14ac:dyDescent="0.25">
      <c r="A163" s="44"/>
      <c r="B163" s="142"/>
      <c r="C163" s="156"/>
      <c r="D163" s="92"/>
      <c r="E163" s="151"/>
      <c r="F163" s="142"/>
      <c r="G163" s="87"/>
      <c r="H163" s="144"/>
      <c r="I163" s="143"/>
      <c r="J163" s="143"/>
      <c r="K163" s="44"/>
      <c r="L163" s="88"/>
      <c r="M163" s="11"/>
    </row>
    <row r="164" spans="1:13" x14ac:dyDescent="0.25">
      <c r="A164" s="44"/>
      <c r="B164" s="142"/>
      <c r="C164" s="156"/>
      <c r="D164" s="92"/>
      <c r="E164" s="151"/>
      <c r="F164" s="142"/>
      <c r="G164" s="87"/>
      <c r="H164" s="144"/>
      <c r="I164" s="143"/>
      <c r="J164" s="143"/>
      <c r="K164" s="44"/>
      <c r="L164" s="88"/>
      <c r="M164" s="11"/>
    </row>
    <row r="165" spans="1:13" x14ac:dyDescent="0.25">
      <c r="A165" s="44"/>
      <c r="B165" s="142"/>
      <c r="C165" s="156"/>
      <c r="D165" s="92"/>
      <c r="E165" s="151"/>
      <c r="F165" s="142"/>
      <c r="G165" s="87"/>
      <c r="H165" s="144"/>
      <c r="I165" s="143"/>
      <c r="J165" s="143"/>
      <c r="K165" s="44"/>
      <c r="L165" s="88"/>
      <c r="M165" s="11"/>
    </row>
    <row r="166" spans="1:13" x14ac:dyDescent="0.25">
      <c r="A166" s="44"/>
      <c r="B166" s="142"/>
      <c r="C166" s="156"/>
      <c r="D166" s="92"/>
      <c r="E166" s="151"/>
      <c r="F166" s="142"/>
      <c r="G166" s="87"/>
      <c r="H166" s="144"/>
      <c r="I166" s="143"/>
      <c r="J166" s="143"/>
      <c r="K166" s="44"/>
      <c r="L166" s="88"/>
      <c r="M166" s="11"/>
    </row>
    <row r="167" spans="1:13" x14ac:dyDescent="0.25">
      <c r="A167" s="44"/>
      <c r="B167" s="142"/>
      <c r="C167" s="156"/>
      <c r="D167" s="92"/>
      <c r="E167" s="151"/>
      <c r="F167" s="142"/>
      <c r="G167" s="87"/>
      <c r="H167" s="144"/>
      <c r="I167" s="143"/>
      <c r="J167" s="143"/>
      <c r="K167" s="44"/>
      <c r="L167" s="88"/>
      <c r="M167" s="11"/>
    </row>
    <row r="168" spans="1:13" x14ac:dyDescent="0.25">
      <c r="A168" s="44"/>
      <c r="B168" s="142"/>
      <c r="C168" s="156"/>
      <c r="D168" s="92"/>
      <c r="E168" s="151"/>
      <c r="F168" s="142"/>
      <c r="G168" s="87"/>
      <c r="H168" s="144"/>
      <c r="I168" s="143"/>
      <c r="J168" s="143"/>
      <c r="K168" s="44"/>
      <c r="L168" s="88"/>
      <c r="M168" s="11"/>
    </row>
    <row r="169" spans="1:13" x14ac:dyDescent="0.25">
      <c r="A169" s="44"/>
      <c r="B169" s="142"/>
      <c r="C169" s="156"/>
      <c r="D169" s="92"/>
      <c r="E169" s="151"/>
      <c r="F169" s="142"/>
      <c r="G169" s="87"/>
      <c r="H169" s="144"/>
      <c r="I169" s="143"/>
      <c r="J169" s="143"/>
      <c r="K169" s="44"/>
      <c r="L169" s="88"/>
      <c r="M169" s="11"/>
    </row>
    <row r="170" spans="1:13" x14ac:dyDescent="0.25">
      <c r="A170" s="44"/>
      <c r="B170" s="142"/>
      <c r="C170" s="156"/>
      <c r="D170" s="92"/>
      <c r="E170" s="151"/>
      <c r="F170" s="142"/>
      <c r="G170" s="87"/>
      <c r="H170" s="144"/>
      <c r="I170" s="143"/>
      <c r="J170" s="143"/>
      <c r="K170" s="44"/>
      <c r="L170" s="88"/>
      <c r="M170" s="11"/>
    </row>
    <row r="171" spans="1:13" x14ac:dyDescent="0.25">
      <c r="A171" s="44"/>
      <c r="B171" s="142"/>
      <c r="C171" s="156"/>
      <c r="D171" s="92"/>
      <c r="E171" s="151"/>
      <c r="F171" s="142"/>
      <c r="G171" s="87"/>
      <c r="H171" s="144"/>
      <c r="I171" s="143"/>
      <c r="J171" s="143"/>
      <c r="K171" s="44"/>
      <c r="L171" s="88"/>
      <c r="M171" s="11"/>
    </row>
    <row r="172" spans="1:13" x14ac:dyDescent="0.25">
      <c r="A172" s="44"/>
      <c r="B172" s="142"/>
      <c r="C172" s="156"/>
      <c r="D172" s="92"/>
      <c r="E172" s="151"/>
      <c r="F172" s="142"/>
      <c r="G172" s="87"/>
      <c r="H172" s="144"/>
      <c r="I172" s="143"/>
      <c r="J172" s="143"/>
      <c r="K172" s="44"/>
      <c r="L172" s="88"/>
      <c r="M172" s="11"/>
    </row>
    <row r="173" spans="1:13" x14ac:dyDescent="0.25">
      <c r="A173" s="44"/>
      <c r="B173" s="142"/>
      <c r="C173" s="156"/>
      <c r="D173" s="92"/>
      <c r="E173" s="151"/>
      <c r="F173" s="142"/>
      <c r="G173" s="87"/>
      <c r="H173" s="144"/>
      <c r="I173" s="143"/>
      <c r="J173" s="143"/>
      <c r="K173" s="44"/>
      <c r="L173" s="88"/>
      <c r="M173" s="11"/>
    </row>
    <row r="174" spans="1:13" x14ac:dyDescent="0.25">
      <c r="A174" s="44"/>
      <c r="B174" s="142"/>
      <c r="C174" s="156"/>
      <c r="D174" s="92"/>
      <c r="E174" s="151"/>
      <c r="F174" s="142"/>
      <c r="G174" s="87"/>
      <c r="H174" s="144"/>
      <c r="I174" s="143"/>
      <c r="J174" s="143"/>
      <c r="K174" s="44"/>
      <c r="L174" s="88"/>
      <c r="M174" s="11"/>
    </row>
    <row r="175" spans="1:13" x14ac:dyDescent="0.25">
      <c r="A175" s="44"/>
      <c r="B175" s="142"/>
      <c r="C175" s="156"/>
      <c r="D175" s="92"/>
      <c r="E175" s="151"/>
      <c r="F175" s="142"/>
      <c r="G175" s="87"/>
      <c r="H175" s="144"/>
      <c r="I175" s="143"/>
      <c r="J175" s="143"/>
      <c r="K175" s="44"/>
      <c r="L175" s="88"/>
      <c r="M175" s="11"/>
    </row>
    <row r="176" spans="1:13" x14ac:dyDescent="0.25">
      <c r="A176" s="44"/>
      <c r="B176" s="142"/>
      <c r="C176" s="156"/>
      <c r="D176" s="92"/>
      <c r="E176" s="151"/>
      <c r="F176" s="142"/>
      <c r="G176" s="87"/>
      <c r="H176" s="144"/>
      <c r="I176" s="143"/>
      <c r="J176" s="143"/>
      <c r="K176" s="44"/>
      <c r="L176" s="88"/>
      <c r="M176" s="11"/>
    </row>
    <row r="177" spans="1:13" x14ac:dyDescent="0.25">
      <c r="A177" s="44"/>
      <c r="B177" s="142"/>
      <c r="C177" s="156"/>
      <c r="D177" s="92"/>
      <c r="E177" s="151"/>
      <c r="F177" s="142"/>
      <c r="G177" s="87"/>
      <c r="H177" s="144"/>
      <c r="I177" s="143"/>
      <c r="J177" s="143"/>
      <c r="K177" s="44"/>
      <c r="L177" s="88"/>
      <c r="M177" s="11"/>
    </row>
    <row r="178" spans="1:13" x14ac:dyDescent="0.25">
      <c r="A178" s="44"/>
      <c r="B178" s="142"/>
      <c r="C178" s="156"/>
      <c r="D178" s="92"/>
      <c r="E178" s="151"/>
      <c r="F178" s="142"/>
      <c r="G178" s="87"/>
      <c r="H178" s="144"/>
      <c r="I178" s="143"/>
      <c r="J178" s="143"/>
      <c r="K178" s="44"/>
      <c r="L178" s="88"/>
      <c r="M178" s="11"/>
    </row>
    <row r="179" spans="1:13" x14ac:dyDescent="0.25">
      <c r="A179" s="44"/>
      <c r="B179" s="142"/>
      <c r="C179" s="156"/>
      <c r="D179" s="92"/>
      <c r="E179" s="151"/>
      <c r="F179" s="142"/>
      <c r="G179" s="87"/>
      <c r="H179" s="144"/>
      <c r="I179" s="143"/>
      <c r="J179" s="143"/>
      <c r="K179" s="44"/>
      <c r="L179" s="88"/>
      <c r="M179" s="11"/>
    </row>
    <row r="180" spans="1:13" x14ac:dyDescent="0.25">
      <c r="A180" s="44"/>
      <c r="B180" s="142"/>
      <c r="C180" s="156"/>
      <c r="D180" s="92"/>
      <c r="E180" s="151"/>
      <c r="F180" s="142"/>
      <c r="G180" s="87"/>
      <c r="H180" s="144"/>
      <c r="I180" s="143"/>
      <c r="J180" s="143"/>
      <c r="K180" s="44"/>
      <c r="L180" s="88"/>
      <c r="M180" s="11"/>
    </row>
    <row r="181" spans="1:13" x14ac:dyDescent="0.25">
      <c r="A181" s="44"/>
      <c r="B181" s="142"/>
      <c r="C181" s="156"/>
      <c r="D181" s="92"/>
      <c r="E181" s="151"/>
      <c r="F181" s="142"/>
      <c r="G181" s="87"/>
      <c r="H181" s="144"/>
      <c r="I181" s="143"/>
      <c r="J181" s="143"/>
      <c r="K181" s="44"/>
      <c r="L181" s="88"/>
      <c r="M181" s="11"/>
    </row>
    <row r="182" spans="1:13" x14ac:dyDescent="0.25">
      <c r="A182" s="44"/>
      <c r="B182" s="142"/>
      <c r="C182" s="156"/>
      <c r="D182" s="92"/>
      <c r="E182" s="151"/>
      <c r="F182" s="142"/>
      <c r="G182" s="87"/>
      <c r="H182" s="144"/>
      <c r="I182" s="143"/>
      <c r="J182" s="143"/>
      <c r="K182" s="44"/>
      <c r="L182" s="88"/>
      <c r="M182" s="11"/>
    </row>
    <row r="183" spans="1:13" x14ac:dyDescent="0.25">
      <c r="A183" s="44"/>
      <c r="B183" s="142"/>
      <c r="C183" s="156"/>
      <c r="D183" s="92"/>
      <c r="E183" s="151"/>
      <c r="F183" s="142"/>
      <c r="G183" s="87"/>
      <c r="H183" s="144"/>
      <c r="I183" s="143"/>
      <c r="J183" s="143"/>
      <c r="K183" s="44"/>
      <c r="L183" s="88"/>
      <c r="M183" s="11"/>
    </row>
  </sheetData>
  <conditionalFormatting sqref="A1:A51 A184:A1048576">
    <cfRule type="containsText" dxfId="7767" priority="287" operator="containsText" text="MANZANILLO">
      <formula>NOT(ISERROR(SEARCH("MANZANILLO",A1)))</formula>
    </cfRule>
    <cfRule type="containsText" dxfId="7766" priority="286" operator="containsText" text="VERACRUZ">
      <formula>NOT(ISERROR(SEARCH("VERACRUZ",A1)))</formula>
    </cfRule>
    <cfRule type="containsText" dxfId="7765" priority="285" operator="containsText" text="LAREDO">
      <formula>NOT(ISERROR(SEARCH("LAREDO",A1)))</formula>
    </cfRule>
    <cfRule type="containsText" dxfId="7764" priority="281" operator="containsText" text="AIFA">
      <formula>NOT(ISERROR(SEARCH("AIFA",A1)))</formula>
    </cfRule>
  </conditionalFormatting>
  <conditionalFormatting sqref="A2:A51">
    <cfRule type="containsText" dxfId="7763" priority="284" operator="containsText" text="TOLUCA">
      <formula>NOT(ISERROR(SEARCH("TOLUCA",A2)))</formula>
    </cfRule>
    <cfRule type="containsText" dxfId="7762" priority="283" operator="containsText" text="ACCEL">
      <formula>NOT(ISERROR(SEARCH("ACCEL",A2)))</formula>
    </cfRule>
    <cfRule type="containsText" dxfId="7761" priority="282" operator="containsText" text="AICM">
      <formula>NOT(ISERROR(SEARCH("AICM",A2)))</formula>
    </cfRule>
  </conditionalFormatting>
  <conditionalFormatting sqref="A52:A183">
    <cfRule type="containsText" dxfId="7760" priority="189" operator="containsText" text="ACCEL">
      <formula>NOT(ISERROR(SEARCH("ACCEL",A52)))</formula>
    </cfRule>
    <cfRule type="containsText" dxfId="7759" priority="192" operator="containsText" text="VERACRUZ">
      <formula>NOT(ISERROR(SEARCH("VERACRUZ",A52)))</formula>
    </cfRule>
    <cfRule type="containsText" dxfId="7758" priority="191" operator="containsText" text="LAREDO">
      <formula>NOT(ISERROR(SEARCH("LAREDO",A52)))</formula>
    </cfRule>
    <cfRule type="containsText" dxfId="7757" priority="190" operator="containsText" text="TOLUCA">
      <formula>NOT(ISERROR(SEARCH("TOLUCA",A52)))</formula>
    </cfRule>
    <cfRule type="containsText" dxfId="7756" priority="188" operator="containsText" text="AICM">
      <formula>NOT(ISERROR(SEARCH("AICM",A52)))</formula>
    </cfRule>
    <cfRule type="containsText" dxfId="7755" priority="187" operator="containsText" text="AIFA">
      <formula>NOT(ISERROR(SEARCH("AIFA",A52)))</formula>
    </cfRule>
    <cfRule type="containsText" dxfId="7754" priority="193" operator="containsText" text="MANZANILLO">
      <formula>NOT(ISERROR(SEARCH("MANZANILLO",A52)))</formula>
    </cfRule>
  </conditionalFormatting>
  <conditionalFormatting sqref="A2:L183">
    <cfRule type="containsText" dxfId="7753" priority="186" operator="containsText" text="PENDIENTE">
      <formula>NOT(ISERROR(SEARCH("PENDIENTE",A2)))</formula>
    </cfRule>
    <cfRule type="containsText" dxfId="7752" priority="185" operator="containsText" text="ENTREGADO">
      <formula>NOT(ISERROR(SEARCH("ENTREGADO",A2)))</formula>
    </cfRule>
  </conditionalFormatting>
  <conditionalFormatting sqref="A52:M1048576 A2:L51">
    <cfRule type="containsText" dxfId="7751" priority="176" operator="containsText" text="ENTREGADO">
      <formula>NOT(ISERROR(SEARCH("ENTREGADO",A2)))</formula>
    </cfRule>
  </conditionalFormatting>
  <conditionalFormatting sqref="A1:XFD1 A184:M1048576">
    <cfRule type="containsText" dxfId="7750" priority="280" operator="containsText" text="PENDIENTE">
      <formula>NOT(ISERROR(SEARCH("PENDIENTE",A1)))</formula>
    </cfRule>
    <cfRule type="containsText" dxfId="7749" priority="279" operator="containsText" text="ENTREGADO">
      <formula>NOT(ISERROR(SEARCH("ENTREGADO",A1)))</formula>
    </cfRule>
  </conditionalFormatting>
  <conditionalFormatting sqref="A1:XFD1">
    <cfRule type="containsText" dxfId="7748" priority="278" operator="containsText" text="ENTREGADO">
      <formula>NOT(ISERROR(SEARCH("ENTREGADO",A1)))</formula>
    </cfRule>
  </conditionalFormatting>
  <conditionalFormatting sqref="M2:M4 M8 M17:M19 M23:M51">
    <cfRule type="containsText" dxfId="7747" priority="235" operator="containsText" text="TOLUCA">
      <formula>NOT(ISERROR(SEARCH("TOLUCA",M2)))</formula>
    </cfRule>
    <cfRule type="containsText" dxfId="7746" priority="234" operator="containsText" text="LAREDO">
      <formula>NOT(ISERROR(SEARCH("LAREDO",M2)))</formula>
    </cfRule>
    <cfRule type="containsText" dxfId="7745" priority="233" operator="containsText" text="AICM">
      <formula>NOT(ISERROR(SEARCH("AICM",M2)))</formula>
    </cfRule>
    <cfRule type="containsText" dxfId="7744" priority="232" operator="containsText" text="AIFA">
      <formula>NOT(ISERROR(SEARCH("AIFA",M2)))</formula>
    </cfRule>
    <cfRule type="containsText" dxfId="7743" priority="231" operator="containsText" text="DRAGON">
      <formula>NOT(ISERROR(SEARCH("DRAGON",M2)))</formula>
    </cfRule>
    <cfRule type="containsText" dxfId="7742" priority="230" operator="containsText" text="ENTREGADO">
      <formula>NOT(ISERROR(SEARCH("ENTREGADO",M2)))</formula>
    </cfRule>
    <cfRule type="containsText" dxfId="7741" priority="229" operator="containsText" text="TOLUCA">
      <formula>NOT(ISERROR(SEARCH("TOLUCA",M2)))</formula>
    </cfRule>
    <cfRule type="containsText" dxfId="7740" priority="237" operator="containsText" text="VERACRUZ">
      <formula>NOT(ISERROR(SEARCH("VERACRUZ",M2)))</formula>
    </cfRule>
    <cfRule type="containsText" dxfId="7739" priority="236" operator="containsText" text="MANZANILLO">
      <formula>NOT(ISERROR(SEARCH("MANZANILLO",M2)))</formula>
    </cfRule>
  </conditionalFormatting>
  <conditionalFormatting sqref="M5">
    <cfRule type="containsText" dxfId="7738" priority="170" operator="containsText" text="ENTREGADO">
      <formula>NOT(ISERROR(SEARCH("ENTREGADO",M5)))</formula>
    </cfRule>
    <cfRule type="containsText" dxfId="7737" priority="174" operator="containsText" text="ENTREGADO">
      <formula>NOT(ISERROR(SEARCH("ENTREGADO",M5)))</formula>
    </cfRule>
    <cfRule type="containsText" dxfId="7736" priority="172" operator="containsText" text="PENDIENTE">
      <formula>NOT(ISERROR(SEARCH("PENDIENTE",M5)))</formula>
    </cfRule>
    <cfRule type="containsText" dxfId="7735" priority="171" operator="containsText" text="PENDIENTE">
      <formula>NOT(ISERROR(SEARCH("PENDIENTE",#REF!)))</formula>
    </cfRule>
    <cfRule type="containsText" dxfId="7734" priority="173" operator="containsText" text="PRIORIDAD">
      <formula>NOT(ISERROR(SEARCH("PRIORIDAD",M5)))</formula>
    </cfRule>
  </conditionalFormatting>
  <conditionalFormatting sqref="M5:M6">
    <cfRule type="containsText" dxfId="7733" priority="168" operator="containsText" text="ENTREGADO">
      <formula>NOT(ISERROR(SEARCH("ENTREGADO",M5)))</formula>
    </cfRule>
    <cfRule type="containsText" dxfId="7732" priority="166" operator="containsText" text="PENDIENTE">
      <formula>NOT(ISERROR(SEARCH("PENDIENTE",M5)))</formula>
    </cfRule>
  </conditionalFormatting>
  <conditionalFormatting sqref="M5:M7">
    <cfRule type="containsText" dxfId="7731" priority="79" operator="containsText" text="ENTREGADO">
      <formula>NOT(ISERROR(SEARCH("ENTREGADO",#REF!)))</formula>
    </cfRule>
  </conditionalFormatting>
  <conditionalFormatting sqref="M6">
    <cfRule type="containsText" dxfId="7730" priority="155" operator="containsText" text="PRIORIDAD">
      <formula>NOT(ISERROR(SEARCH("PRIORIDAD",M6)))</formula>
    </cfRule>
    <cfRule type="containsText" dxfId="7729" priority="153" operator="containsText" text="PENDIENTE">
      <formula>NOT(ISERROR(SEARCH("PENDIENTE",#REF!)))</formula>
    </cfRule>
    <cfRule type="containsText" dxfId="7728" priority="152" operator="containsText" text="ENTREGADO">
      <formula>NOT(ISERROR(SEARCH("ENTREGADO",M6)))</formula>
    </cfRule>
  </conditionalFormatting>
  <conditionalFormatting sqref="M6:M7">
    <cfRule type="containsText" dxfId="7727" priority="91" operator="containsText" text="ENTREGADO">
      <formula>NOT(ISERROR(SEARCH("ENTREGADO",M6)))</formula>
    </cfRule>
    <cfRule type="containsText" dxfId="7726" priority="90" operator="containsText" text="PENDIENTE">
      <formula>NOT(ISERROR(SEARCH("PENDIENTE",M6)))</formula>
    </cfRule>
  </conditionalFormatting>
  <conditionalFormatting sqref="M7 M9:M16">
    <cfRule type="containsText" dxfId="7725" priority="39" operator="containsText" text="TOLUCA">
      <formula>NOT(ISERROR(SEARCH("TOLUCA",M7)))</formula>
    </cfRule>
    <cfRule type="containsText" dxfId="7724" priority="45" operator="containsText" text="MANZANILLO">
      <formula>NOT(ISERROR(SEARCH("MANZANILLO",M7)))</formula>
    </cfRule>
    <cfRule type="containsText" dxfId="7723" priority="44" operator="containsText" text="LAREDO">
      <formula>NOT(ISERROR(SEARCH("LAREDO",M7)))</formula>
    </cfRule>
    <cfRule type="containsText" dxfId="7722" priority="41" operator="containsText" text="AICM">
      <formula>NOT(ISERROR(SEARCH("AICM",M7)))</formula>
    </cfRule>
    <cfRule type="containsText" dxfId="7721" priority="43" operator="containsText" text="VERACRUZ">
      <formula>NOT(ISERROR(SEARCH("VERACRUZ",M7)))</formula>
    </cfRule>
    <cfRule type="containsText" dxfId="7720" priority="42" operator="containsText" text="AICIM">
      <formula>NOT(ISERROR(SEARCH("AICIM",M7)))</formula>
    </cfRule>
    <cfRule type="containsText" dxfId="7719" priority="40" operator="containsText" text="TOLUCA">
      <formula>NOT(ISERROR(SEARCH("TOLUCA",M7)))</formula>
    </cfRule>
    <cfRule type="containsText" dxfId="7718" priority="38" operator="containsText" text="TOLUCA">
      <formula>NOT(ISERROR(SEARCH("TOLUCA",M7)))</formula>
    </cfRule>
    <cfRule type="containsText" dxfId="7717" priority="37" operator="containsText" text="ACCEL">
      <formula>NOT(ISERROR(SEARCH("ACCEL",M7)))</formula>
    </cfRule>
  </conditionalFormatting>
  <conditionalFormatting sqref="M7">
    <cfRule type="containsText" dxfId="7716" priority="81" operator="containsText" text="PENDIENTE">
      <formula>NOT(ISERROR(SEARCH("PENDIENTE",#REF!)))</formula>
    </cfRule>
    <cfRule type="containsText" dxfId="7715" priority="82" operator="containsText" text="PENDIENTE">
      <formula>NOT(ISERROR(SEARCH("PENDIENTE",M7)))</formula>
    </cfRule>
    <cfRule type="containsText" dxfId="7714" priority="83" operator="containsText" text="ENTREGADO">
      <formula>NOT(ISERROR(SEARCH("ENTREGADO",M7)))</formula>
    </cfRule>
    <cfRule type="containsText" dxfId="7713" priority="84" operator="containsText" text="PENDIENTE">
      <formula>NOT(ISERROR(SEARCH("PENDIENTE",#REF!)))</formula>
    </cfRule>
    <cfRule type="containsText" dxfId="7712" priority="85" operator="containsText" text="PENDIENTE">
      <formula>NOT(ISERROR(SEARCH("PENDIENTE",M7)))</formula>
    </cfRule>
    <cfRule type="containsText" dxfId="7711" priority="86" operator="containsText" text="ENTREGADO">
      <formula>NOT(ISERROR(SEARCH("ENTREGADO",M7)))</formula>
    </cfRule>
    <cfRule type="containsText" dxfId="7710" priority="87" operator="containsText" text="PRIORIDAD">
      <formula>NOT(ISERROR(SEARCH("PRIORIDAD",M7)))</formula>
    </cfRule>
    <cfRule type="containsText" dxfId="7709" priority="89" operator="containsText" text="ENTREGADO">
      <formula>NOT(ISERROR(SEARCH("ENTREGADO",M7)))</formula>
    </cfRule>
    <cfRule type="containsText" dxfId="7708" priority="88" operator="containsText" text="PENDIENTE">
      <formula>NOT(ISERROR(SEARCH("PENDIENTE",M7)))</formula>
    </cfRule>
    <cfRule type="containsText" dxfId="7707" priority="80" operator="containsText" text="ENTREGADO">
      <formula>NOT(ISERROR(SEARCH("ENTREGADO",M7)))</formula>
    </cfRule>
  </conditionalFormatting>
  <conditionalFormatting sqref="M9">
    <cfRule type="containsText" dxfId="7706" priority="67" operator="containsText" text="ENTREGADO">
      <formula>NOT(ISERROR(SEARCH("ENTREGADO",M9)))</formula>
    </cfRule>
    <cfRule type="containsText" dxfId="7705" priority="66" operator="containsText" text="PENDIENTE">
      <formula>NOT(ISERROR(SEARCH("PENDIENTE",M9)))</formula>
    </cfRule>
    <cfRule type="containsText" dxfId="7704" priority="65" operator="containsText" text="ENTREGADO">
      <formula>NOT(ISERROR(SEARCH("ENTREGADO",M9)))</formula>
    </cfRule>
    <cfRule type="containsText" dxfId="7703" priority="63" operator="containsText" text="PENDIENTE">
      <formula>NOT(ISERROR(SEARCH("PENDIENTE",#REF!)))</formula>
    </cfRule>
    <cfRule type="containsText" dxfId="7702" priority="69" operator="containsText" text="ENTREGADO">
      <formula>NOT(ISERROR(SEARCH("ENTREGADO",M9)))</formula>
    </cfRule>
    <cfRule type="containsText" dxfId="7701" priority="64" operator="containsText" text="PENDIENTE">
      <formula>NOT(ISERROR(SEARCH("PENDIENTE",M9)))</formula>
    </cfRule>
    <cfRule type="containsText" dxfId="7700" priority="62" operator="containsText" text="ENTREGADO">
      <formula>NOT(ISERROR(SEARCH("ENTREGADO",M9)))</formula>
    </cfRule>
    <cfRule type="containsText" dxfId="7699" priority="68" operator="containsText" text="PENDIENTE">
      <formula>NOT(ISERROR(SEARCH("PENDIENTE",M9)))</formula>
    </cfRule>
  </conditionalFormatting>
  <conditionalFormatting sqref="M9:M10">
    <cfRule type="containsText" dxfId="7698" priority="50" operator="containsText" text="ENTREGADO">
      <formula>NOT(ISERROR(SEARCH("ENTREGADO",M9)))</formula>
    </cfRule>
    <cfRule type="containsText" dxfId="7697" priority="51" operator="containsText" text="PENDIENTE">
      <formula>NOT(ISERROR(SEARCH("PENDIENTE",#REF!)))</formula>
    </cfRule>
    <cfRule type="containsText" dxfId="7696" priority="46" operator="containsText" text="ENTREGADO">
      <formula>NOT(ISERROR(SEARCH("ENTREGADO",#REF!)))</formula>
    </cfRule>
    <cfRule type="containsText" dxfId="7695" priority="56" operator="containsText" text="PENDIENTE">
      <formula>NOT(ISERROR(SEARCH("PENDIENTE",M9)))</formula>
    </cfRule>
  </conditionalFormatting>
  <conditionalFormatting sqref="M9:M11">
    <cfRule type="containsText" dxfId="7694" priority="102" operator="containsText" text="ENTREGADO">
      <formula>NOT(ISERROR(SEARCH("ENTREGADO",#REF!)))</formula>
    </cfRule>
    <cfRule type="containsText" dxfId="7693" priority="103" operator="containsText" text="ENTREGADO">
      <formula>NOT(ISERROR(SEARCH("ENTREGADO",M9)))</formula>
    </cfRule>
    <cfRule type="containsText" dxfId="7692" priority="104" operator="containsText" text="PENDIENTE">
      <formula>NOT(ISERROR(SEARCH("PENDIENTE",#REF!)))</formula>
    </cfRule>
    <cfRule type="containsText" dxfId="7691" priority="106" operator="containsText" text="ENTREGADO">
      <formula>NOT(ISERROR(SEARCH("ENTREGADO",M9)))</formula>
    </cfRule>
    <cfRule type="containsText" dxfId="7690" priority="100" operator="containsText" text="PENDIENTE">
      <formula>NOT(ISERROR(SEARCH("PENDIENTE",M9)))</formula>
    </cfRule>
    <cfRule type="containsText" dxfId="7689" priority="105" operator="containsText" text="PENDIENTE">
      <formula>NOT(ISERROR(SEARCH("PENDIENTE",M9)))</formula>
    </cfRule>
    <cfRule type="containsText" dxfId="7688" priority="101" operator="containsText" text="ENTREGADO">
      <formula>NOT(ISERROR(SEARCH("ENTREGADO",M9)))</formula>
    </cfRule>
  </conditionalFormatting>
  <conditionalFormatting sqref="M9:M12">
    <cfRule type="containsText" dxfId="7687" priority="99" operator="containsText" text="ENTREGADO">
      <formula>NOT(ISERROR(SEARCH("ENTREGADO",M9)))</formula>
    </cfRule>
  </conditionalFormatting>
  <conditionalFormatting sqref="M9:M16">
    <cfRule type="containsText" dxfId="7686" priority="70" operator="containsText" text="PRIORIDAD">
      <formula>NOT(ISERROR(SEARCH("PRIORIDAD",M9)))</formula>
    </cfRule>
  </conditionalFormatting>
  <conditionalFormatting sqref="M10">
    <cfRule type="containsText" dxfId="7685" priority="57" operator="containsText" text="ENTREGADO">
      <formula>NOT(ISERROR(SEARCH("ENTREGADO",M10)))</formula>
    </cfRule>
    <cfRule type="containsText" dxfId="7684" priority="55" operator="containsText" text="ENTREGADO">
      <formula>NOT(ISERROR(SEARCH("ENTREGADO",M10)))</formula>
    </cfRule>
    <cfRule type="containsText" dxfId="7683" priority="54" operator="containsText" text="PENDIENTE">
      <formula>NOT(ISERROR(SEARCH("PENDIENTE",M10)))</formula>
    </cfRule>
    <cfRule type="containsText" dxfId="7682" priority="53" operator="containsText" text="ENTREGADO">
      <formula>NOT(ISERROR(SEARCH("ENTREGADO",M10)))</formula>
    </cfRule>
    <cfRule type="containsText" dxfId="7681" priority="52" operator="containsText" text="PENDIENTE">
      <formula>NOT(ISERROR(SEARCH("PENDIENTE",M10)))</formula>
    </cfRule>
    <cfRule type="containsText" dxfId="7680" priority="49" operator="containsText" text="PENDIENTE">
      <formula>NOT(ISERROR(SEARCH("PENDIENTE",M10)))</formula>
    </cfRule>
    <cfRule type="containsText" dxfId="7679" priority="48" operator="containsText" text="PENDIENTE">
      <formula>NOT(ISERROR(SEARCH("PENDIENTE",#REF!)))</formula>
    </cfRule>
    <cfRule type="containsText" dxfId="7678" priority="47" operator="containsText" text="ENTREGADO">
      <formula>NOT(ISERROR(SEARCH("ENTREGADO",M10)))</formula>
    </cfRule>
  </conditionalFormatting>
  <conditionalFormatting sqref="M12">
    <cfRule type="containsText" dxfId="7677" priority="98" operator="containsText" text="PENDIENTE">
      <formula>NOT(ISERROR(SEARCH("PENDIENTE",M12)))</formula>
    </cfRule>
    <cfRule type="containsText" dxfId="7676" priority="93" operator="containsText" text="PENDIENTE">
      <formula>NOT(ISERROR(SEARCH("PENDIENTE",M12)))</formula>
    </cfRule>
    <cfRule type="containsText" dxfId="7675" priority="94" operator="containsText" text="ENTREGADO">
      <formula>NOT(ISERROR(SEARCH("ENTREGADO",M12)))</formula>
    </cfRule>
    <cfRule type="containsText" dxfId="7674" priority="95" operator="containsText" text="ENTREGADO">
      <formula>NOT(ISERROR(SEARCH("ENTREGADO",#REF!)))</formula>
    </cfRule>
    <cfRule type="containsText" dxfId="7673" priority="96" operator="containsText" text="ENTREGADO">
      <formula>NOT(ISERROR(SEARCH("ENTREGADO",M12)))</formula>
    </cfRule>
    <cfRule type="containsText" dxfId="7672" priority="97" operator="containsText" text="PENDIENTE">
      <formula>NOT(ISERROR(SEARCH("PENDIENTE",#REF!)))</formula>
    </cfRule>
  </conditionalFormatting>
  <conditionalFormatting sqref="M12:M16">
    <cfRule type="containsText" dxfId="7671" priority="78" operator="containsText" text="ENTREGADO">
      <formula>NOT(ISERROR(SEARCH("ENTREGADO",M12)))</formula>
    </cfRule>
  </conditionalFormatting>
  <conditionalFormatting sqref="M13:M16">
    <cfRule type="containsText" dxfId="7670" priority="74" operator="containsText" text="ENTREGADO">
      <formula>NOT(ISERROR(SEARCH("ENTREGADO",#REF!)))</formula>
    </cfRule>
    <cfRule type="containsText" dxfId="7669" priority="77" operator="containsText" text="PENDIENTE">
      <formula>NOT(ISERROR(SEARCH("PENDIENTE",M13)))</formula>
    </cfRule>
    <cfRule type="containsText" dxfId="7668" priority="71" operator="containsText" text="ENTREGADO">
      <formula>NOT(ISERROR(SEARCH("ENTREGADO",M13)))</formula>
    </cfRule>
    <cfRule type="containsText" dxfId="7667" priority="72" operator="containsText" text="PENDIENTE">
      <formula>NOT(ISERROR(SEARCH("PENDIENTE",M13)))</formula>
    </cfRule>
    <cfRule type="containsText" dxfId="7666" priority="73" operator="containsText" text="ENTREGADO">
      <formula>NOT(ISERROR(SEARCH("ENTREGADO",M13)))</formula>
    </cfRule>
    <cfRule type="containsText" dxfId="7665" priority="75" operator="containsText" text="ENTREGADO">
      <formula>NOT(ISERROR(SEARCH("ENTREGADO",M13)))</formula>
    </cfRule>
    <cfRule type="containsText" dxfId="7664" priority="76" operator="containsText" text="PENDIENTE">
      <formula>NOT(ISERROR(SEARCH("PENDIENTE",#REF!)))</formula>
    </cfRule>
  </conditionalFormatting>
  <conditionalFormatting sqref="M20">
    <cfRule type="containsText" dxfId="7663" priority="36" operator="containsText" text="PRIORIDAD">
      <formula>NOT(ISERROR(SEARCH("PRIORIDAD",M20)))</formula>
    </cfRule>
    <cfRule type="containsText" dxfId="7662" priority="35" operator="containsText" text="ENTREGADO">
      <formula>NOT(ISERROR(SEARCH("ENTREGADO",M20)))</formula>
    </cfRule>
    <cfRule type="containsText" dxfId="7661" priority="34" operator="containsText" text="PENDIENTE">
      <formula>NOT(ISERROR(SEARCH("PENDIENTE",M20)))</formula>
    </cfRule>
    <cfRule type="containsText" dxfId="7660" priority="33" operator="containsText" text="PENDIENTE">
      <formula>NOT(ISERROR(SEARCH("PENDIENTE",#REF!)))</formula>
    </cfRule>
    <cfRule type="containsText" dxfId="7659" priority="32" operator="containsText" text="ENTREGADO">
      <formula>NOT(ISERROR(SEARCH("ENTREGADO",M20)))</formula>
    </cfRule>
    <cfRule type="containsText" dxfId="7658" priority="31" operator="containsText" text="ENTREGADO">
      <formula>NOT(ISERROR(SEARCH("ENTREGADO",#REF!)))</formula>
    </cfRule>
    <cfRule type="containsText" dxfId="7657" priority="30" operator="containsText" text="ENTREGADO">
      <formula>NOT(ISERROR(SEARCH("ENTREGADO",M20)))</formula>
    </cfRule>
    <cfRule type="containsText" dxfId="7656" priority="29" operator="containsText" text="PENDIENTE">
      <formula>NOT(ISERROR(SEARCH("PENDIENTE",M20)))</formula>
    </cfRule>
  </conditionalFormatting>
  <conditionalFormatting sqref="M20:M21">
    <cfRule type="containsText" dxfId="7655" priority="26" operator="containsText" text="ENTREGADO">
      <formula>NOT(ISERROR(SEARCH("ENTREGADO",M20)))</formula>
    </cfRule>
  </conditionalFormatting>
  <conditionalFormatting sqref="M20:M22">
    <cfRule type="containsText" dxfId="7654" priority="6" operator="containsText" text="AICIM">
      <formula>NOT(ISERROR(SEARCH("AICIM",M20)))</formula>
    </cfRule>
    <cfRule type="containsText" dxfId="7653" priority="5" operator="containsText" text="AICM">
      <formula>NOT(ISERROR(SEARCH("AICM",M20)))</formula>
    </cfRule>
    <cfRule type="containsText" dxfId="7652" priority="3" operator="containsText" text="TOLUCA">
      <formula>NOT(ISERROR(SEARCH("TOLUCA",M20)))</formula>
    </cfRule>
    <cfRule type="containsText" dxfId="7651" priority="2" operator="containsText" text="TOLUCA">
      <formula>NOT(ISERROR(SEARCH("TOLUCA",M20)))</formula>
    </cfRule>
    <cfRule type="containsText" dxfId="7650" priority="4" operator="containsText" text="TOLUCA">
      <formula>NOT(ISERROR(SEARCH("TOLUCA",M20)))</formula>
    </cfRule>
    <cfRule type="containsText" dxfId="7649" priority="9" operator="containsText" text="MANZANILLO">
      <formula>NOT(ISERROR(SEARCH("MANZANILLO",M20)))</formula>
    </cfRule>
    <cfRule type="containsText" dxfId="7648" priority="1" operator="containsText" text="ACCEL">
      <formula>NOT(ISERROR(SEARCH("ACCEL",M20)))</formula>
    </cfRule>
    <cfRule type="containsText" dxfId="7647" priority="8" operator="containsText" text="LAREDO">
      <formula>NOT(ISERROR(SEARCH("LAREDO",M20)))</formula>
    </cfRule>
    <cfRule type="containsText" dxfId="7646" priority="7" operator="containsText" text="VERACRUZ">
      <formula>NOT(ISERROR(SEARCH("VERACRUZ",M20)))</formula>
    </cfRule>
  </conditionalFormatting>
  <conditionalFormatting sqref="M21">
    <cfRule type="containsText" dxfId="7645" priority="27" operator="containsText" text="PRIORIDAD">
      <formula>NOT(ISERROR(SEARCH("PRIORIDAD",M21)))</formula>
    </cfRule>
    <cfRule type="containsText" dxfId="7644" priority="25" operator="containsText" text="PENDIENTE">
      <formula>NOT(ISERROR(SEARCH("PENDIENTE",M21)))</formula>
    </cfRule>
    <cfRule type="containsText" dxfId="7643" priority="24" operator="containsText" text="PENDIENTE">
      <formula>NOT(ISERROR(SEARCH("PENDIENTE",#REF!)))</formula>
    </cfRule>
    <cfRule type="containsText" dxfId="7642" priority="23" operator="containsText" text="ENTREGADO">
      <formula>NOT(ISERROR(SEARCH("ENTREGADO",M21)))</formula>
    </cfRule>
    <cfRule type="containsText" dxfId="7641" priority="22" operator="containsText" text="ENTREGADO">
      <formula>NOT(ISERROR(SEARCH("ENTREGADO",#REF!)))</formula>
    </cfRule>
    <cfRule type="containsText" dxfId="7640" priority="21" operator="containsText" text="ENTREGADO">
      <formula>NOT(ISERROR(SEARCH("ENTREGADO",M21)))</formula>
    </cfRule>
    <cfRule type="containsText" dxfId="7639" priority="20" operator="containsText" text="PENDIENTE">
      <formula>NOT(ISERROR(SEARCH("PENDIENTE",M21)))</formula>
    </cfRule>
  </conditionalFormatting>
  <conditionalFormatting sqref="M21:M22">
    <cfRule type="containsText" dxfId="7638" priority="17" operator="containsText" text="ENTREGADO">
      <formula>NOT(ISERROR(SEARCH("ENTREGADO",M21)))</formula>
    </cfRule>
  </conditionalFormatting>
  <conditionalFormatting sqref="M22">
    <cfRule type="containsText" dxfId="7637" priority="13" operator="containsText" text="ENTREGADO">
      <formula>NOT(ISERROR(SEARCH("ENTREGADO",#REF!)))</formula>
    </cfRule>
    <cfRule type="containsText" dxfId="7636" priority="18" operator="containsText" text="PRIORIDAD">
      <formula>NOT(ISERROR(SEARCH("PRIORIDAD",M22)))</formula>
    </cfRule>
    <cfRule type="containsText" dxfId="7635" priority="16" operator="containsText" text="PENDIENTE">
      <formula>NOT(ISERROR(SEARCH("PENDIENTE",M22)))</formula>
    </cfRule>
    <cfRule type="containsText" dxfId="7634" priority="15" operator="containsText" text="PENDIENTE">
      <formula>NOT(ISERROR(SEARCH("PENDIENTE",#REF!)))</formula>
    </cfRule>
    <cfRule type="containsText" dxfId="7633" priority="14" operator="containsText" text="ENTREGADO">
      <formula>NOT(ISERROR(SEARCH("ENTREGADO",M22)))</formula>
    </cfRule>
    <cfRule type="containsText" dxfId="7632" priority="12" operator="containsText" text="ENTREGADO">
      <formula>NOT(ISERROR(SEARCH("ENTREGADO",M22)))</formula>
    </cfRule>
    <cfRule type="containsText" dxfId="7631" priority="10" operator="containsText" text="ENTREGADO">
      <formula>NOT(ISERROR(SEARCH("ENTREGADO",M22)))</formula>
    </cfRule>
    <cfRule type="containsText" dxfId="7630" priority="11" operator="containsText" text="PENDIENTE">
      <formula>NOT(ISERROR(SEARCH("PENDIENTE",M22)))</formula>
    </cfRule>
  </conditionalFormatting>
  <conditionalFormatting sqref="M52:M183">
    <cfRule type="containsText" dxfId="7629" priority="183" operator="containsText" text="VERACRUZ">
      <formula>NOT(ISERROR(SEARCH("VERACRUZ",M52)))</formula>
    </cfRule>
    <cfRule type="containsText" dxfId="7628" priority="181" operator="containsText" text="TOLUCA">
      <formula>NOT(ISERROR(SEARCH("TOLUCA",M52)))</formula>
    </cfRule>
    <cfRule type="containsText" dxfId="7627" priority="182" operator="containsText" text="MANZANILLO">
      <formula>NOT(ISERROR(SEARCH("MANZANILLO",M52)))</formula>
    </cfRule>
    <cfRule type="containsText" dxfId="7626" priority="180" operator="containsText" text="LAREDO">
      <formula>NOT(ISERROR(SEARCH("LAREDO",M52)))</formula>
    </cfRule>
    <cfRule type="containsText" dxfId="7625" priority="179" operator="containsText" text="AICM">
      <formula>NOT(ISERROR(SEARCH("AICM",M52)))</formula>
    </cfRule>
    <cfRule type="containsText" dxfId="7624" priority="178" operator="containsText" text="AIFA">
      <formula>NOT(ISERROR(SEARCH("AIFA",M52)))</formula>
    </cfRule>
    <cfRule type="containsText" dxfId="7623" priority="175" operator="containsText" text="TOLUCA">
      <formula>NOT(ISERROR(SEARCH("TOLUCA",M52)))</formula>
    </cfRule>
    <cfRule type="containsText" dxfId="7622" priority="177" operator="containsText" text="DRAGON">
      <formula>NOT(ISERROR(SEARCH("DRAGON",M52)))</formula>
    </cfRule>
  </conditionalFormatting>
  <pageMargins left="0.7" right="0.7" top="0.75" bottom="0.75" header="0.3" footer="0.3"/>
  <pageSetup scale="32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BASE!$E$2:$E$17</xm:f>
          </x14:formula1>
          <xm:sqref>K2:K29 K30:K51</xm:sqref>
        </x14:dataValidation>
        <x14:dataValidation type="list" allowBlank="1" showInputMessage="1" showErrorMessage="1">
          <x14:formula1>
            <xm:f>BASE!$C$2:$C$8</xm:f>
          </x14:formula1>
          <xm:sqref>D9:D29 D2:D7 A2:A29 A30:A51 C2:C29 C30:D51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G92"/>
  <sheetViews>
    <sheetView tabSelected="1" zoomScale="70" zoomScaleNormal="70" zoomScaleSheetLayoutView="85" workbookViewId="0">
      <pane ySplit="2" topLeftCell="A6" activePane="bottomLeft" state="frozen"/>
      <selection pane="bottomLeft" activeCell="K11" sqref="K11"/>
    </sheetView>
  </sheetViews>
  <sheetFormatPr baseColWidth="10" defaultColWidth="10.85546875" defaultRowHeight="15" x14ac:dyDescent="0.25"/>
  <cols>
    <col min="1" max="1" width="42" style="45" bestFit="1" customWidth="1"/>
    <col min="2" max="2" width="8.140625" style="45" bestFit="1" customWidth="1"/>
    <col min="3" max="3" width="10" style="45" bestFit="1" customWidth="1"/>
    <col min="4" max="4" width="9.140625" style="148" customWidth="1"/>
    <col min="5" max="5" width="23.5703125" style="45" bestFit="1" customWidth="1"/>
    <col min="6" max="6" width="11.85546875" style="45" customWidth="1"/>
    <col min="7" max="7" width="17.5703125" style="45" customWidth="1"/>
    <col min="8" max="9" width="13.140625" style="45" customWidth="1"/>
    <col min="10" max="10" width="33" style="45" customWidth="1"/>
    <col min="11" max="11" width="28.140625" style="45" customWidth="1"/>
    <col min="12" max="12" width="12.85546875" style="45" customWidth="1"/>
    <col min="13" max="13" width="13.140625" style="56" customWidth="1"/>
    <col min="14" max="14" width="10.5703125" style="45" customWidth="1"/>
    <col min="15" max="15" width="22.85546875" style="137" customWidth="1"/>
    <col min="16" max="16" width="23.140625" style="137" customWidth="1"/>
    <col min="17" max="17" width="26.5703125" style="45" customWidth="1"/>
    <col min="18" max="18" width="23.140625" style="137" customWidth="1"/>
    <col min="19" max="19" width="44.85546875" style="45" customWidth="1"/>
    <col min="20" max="20" width="16.85546875" style="45" customWidth="1"/>
    <col min="21" max="21" width="10.85546875" style="271" customWidth="1"/>
    <col min="22" max="27" width="10.85546875" style="45" customWidth="1"/>
    <col min="28" max="28" width="22.42578125" style="262" customWidth="1"/>
    <col min="29" max="29" width="20.140625" style="56" customWidth="1"/>
    <col min="30" max="30" width="16.140625" style="45" customWidth="1"/>
    <col min="31" max="31" width="16.140625" style="271" customWidth="1"/>
    <col min="32" max="32" width="15.85546875" style="45" customWidth="1"/>
    <col min="33" max="33" width="28.140625" style="45" customWidth="1"/>
    <col min="34" max="34" width="10.85546875" style="271" customWidth="1"/>
    <col min="35" max="35" width="14.140625" style="56" customWidth="1"/>
    <col min="36" max="36" width="10.85546875" style="45" customWidth="1"/>
    <col min="37" max="37" width="10.85546875" style="271" customWidth="1"/>
    <col min="38" max="38" width="11.85546875" style="56" customWidth="1"/>
    <col min="39" max="39" width="10.85546875" style="271" customWidth="1"/>
    <col min="40" max="40" width="13.85546875" style="56" bestFit="1" customWidth="1"/>
    <col min="41" max="41" width="10.85546875" style="269" customWidth="1"/>
    <col min="42" max="43" width="10.85546875" style="45" customWidth="1"/>
    <col min="44" max="44" width="10.85546875" style="56" customWidth="1"/>
    <col min="45" max="47" width="10.85546875" style="45" customWidth="1"/>
    <col min="48" max="48" width="23.140625" style="45" bestFit="1" customWidth="1"/>
    <col min="49" max="49" width="32" style="45" customWidth="1"/>
    <col min="50" max="50" width="14.85546875" style="45" customWidth="1"/>
    <col min="51" max="53" width="10.85546875" style="45" customWidth="1"/>
    <col min="54" max="54" width="47.140625" style="45" customWidth="1"/>
    <col min="55" max="55" width="10.85546875" style="45"/>
    <col min="56" max="56" width="15.85546875" style="90" bestFit="1" customWidth="1"/>
    <col min="57" max="58" width="12.85546875" style="90" bestFit="1" customWidth="1"/>
    <col min="59" max="59" width="13.85546875" style="89" bestFit="1" customWidth="1"/>
    <col min="60" max="16384" width="10.85546875" style="45"/>
  </cols>
  <sheetData>
    <row r="1" spans="1:59" s="54" customFormat="1" x14ac:dyDescent="0.25">
      <c r="A1" s="139" t="s">
        <v>22</v>
      </c>
      <c r="B1" s="129"/>
      <c r="C1" s="129"/>
      <c r="D1" s="264"/>
      <c r="E1" s="129"/>
      <c r="F1" s="129"/>
      <c r="G1" s="129"/>
      <c r="H1" s="129"/>
      <c r="I1" s="129"/>
      <c r="J1" s="129"/>
      <c r="K1" s="145"/>
      <c r="L1" s="129"/>
      <c r="M1" s="129"/>
      <c r="N1" s="129"/>
      <c r="O1" s="129"/>
      <c r="P1" s="129"/>
      <c r="Q1" s="129"/>
      <c r="R1" s="129"/>
      <c r="S1" s="140"/>
      <c r="T1" s="286" t="s">
        <v>43</v>
      </c>
      <c r="U1" s="287"/>
      <c r="V1" s="287"/>
      <c r="W1" s="287"/>
      <c r="X1" s="288"/>
      <c r="Y1" s="286" t="s">
        <v>25</v>
      </c>
      <c r="Z1" s="287"/>
      <c r="AA1" s="287"/>
      <c r="AB1" s="291"/>
      <c r="AC1" s="292"/>
      <c r="AD1" s="293" t="s">
        <v>12</v>
      </c>
      <c r="AE1" s="294"/>
      <c r="AF1" s="295"/>
      <c r="AG1" s="293" t="s">
        <v>110</v>
      </c>
      <c r="AH1" s="294"/>
      <c r="AI1" s="295"/>
      <c r="AJ1" s="124"/>
      <c r="AK1" s="277" t="s">
        <v>111</v>
      </c>
      <c r="AL1" s="125"/>
      <c r="AM1" s="296" t="s">
        <v>32</v>
      </c>
      <c r="AN1" s="295"/>
      <c r="AO1" s="286" t="s">
        <v>143</v>
      </c>
      <c r="AP1" s="287"/>
      <c r="AQ1" s="287"/>
      <c r="AR1" s="288"/>
      <c r="AS1" s="126" t="s">
        <v>17</v>
      </c>
      <c r="AT1" s="127" t="s">
        <v>31</v>
      </c>
      <c r="AU1" s="128"/>
      <c r="AV1" s="289" t="s">
        <v>20</v>
      </c>
      <c r="AW1" s="290"/>
      <c r="AX1" s="129"/>
      <c r="AY1" s="129"/>
      <c r="AZ1" s="129"/>
      <c r="BA1" s="129"/>
      <c r="BB1" s="130"/>
      <c r="BC1" s="129" t="s">
        <v>267</v>
      </c>
      <c r="BD1" s="131">
        <v>21</v>
      </c>
      <c r="BE1" s="131">
        <v>22</v>
      </c>
      <c r="BF1" s="89"/>
      <c r="BG1" s="89"/>
    </row>
    <row r="2" spans="1:59" s="55" customFormat="1" ht="47.25" customHeight="1" x14ac:dyDescent="0.25">
      <c r="A2" s="93" t="s">
        <v>46</v>
      </c>
      <c r="B2" s="94" t="s">
        <v>0</v>
      </c>
      <c r="C2" s="95" t="s">
        <v>38</v>
      </c>
      <c r="D2" s="110" t="s">
        <v>290</v>
      </c>
      <c r="E2" s="96" t="s">
        <v>308</v>
      </c>
      <c r="F2" s="95" t="s">
        <v>39</v>
      </c>
      <c r="G2" s="96" t="s">
        <v>108</v>
      </c>
      <c r="H2" s="97"/>
      <c r="I2" s="97" t="s">
        <v>363</v>
      </c>
      <c r="J2" s="98" t="s">
        <v>41</v>
      </c>
      <c r="K2" s="146" t="s">
        <v>35</v>
      </c>
      <c r="L2" s="95" t="s">
        <v>287</v>
      </c>
      <c r="M2" s="99" t="s">
        <v>36</v>
      </c>
      <c r="N2" s="95" t="s">
        <v>37</v>
      </c>
      <c r="O2" s="132" t="s">
        <v>170</v>
      </c>
      <c r="P2" s="132" t="s">
        <v>171</v>
      </c>
      <c r="Q2" s="95" t="s">
        <v>42</v>
      </c>
      <c r="R2" s="132" t="s">
        <v>40</v>
      </c>
      <c r="S2" s="100" t="s">
        <v>29</v>
      </c>
      <c r="T2" s="101" t="s">
        <v>5</v>
      </c>
      <c r="U2" s="102" t="s">
        <v>2</v>
      </c>
      <c r="V2" s="103" t="s">
        <v>3</v>
      </c>
      <c r="W2" s="103" t="s">
        <v>13</v>
      </c>
      <c r="X2" s="104" t="s">
        <v>14</v>
      </c>
      <c r="Y2" s="105" t="s">
        <v>6</v>
      </c>
      <c r="Z2" s="106" t="s">
        <v>7</v>
      </c>
      <c r="AA2" s="107" t="s">
        <v>10</v>
      </c>
      <c r="AB2" s="257" t="s">
        <v>8</v>
      </c>
      <c r="AC2" s="108" t="s">
        <v>9</v>
      </c>
      <c r="AD2" s="109" t="s">
        <v>11</v>
      </c>
      <c r="AE2" s="272" t="s">
        <v>15</v>
      </c>
      <c r="AF2" s="108" t="s">
        <v>16</v>
      </c>
      <c r="AG2" s="111" t="s">
        <v>101</v>
      </c>
      <c r="AH2" s="276" t="s">
        <v>112</v>
      </c>
      <c r="AI2" s="112" t="s">
        <v>113</v>
      </c>
      <c r="AJ2" s="113" t="s">
        <v>1</v>
      </c>
      <c r="AK2" s="278" t="s">
        <v>384</v>
      </c>
      <c r="AL2" s="114" t="s">
        <v>16</v>
      </c>
      <c r="AM2" s="283" t="s">
        <v>33</v>
      </c>
      <c r="AN2" s="104" t="s">
        <v>16</v>
      </c>
      <c r="AO2" s="265" t="s">
        <v>44</v>
      </c>
      <c r="AP2" s="115" t="s">
        <v>45</v>
      </c>
      <c r="AQ2" s="116" t="s">
        <v>33</v>
      </c>
      <c r="AR2" s="104" t="s">
        <v>16</v>
      </c>
      <c r="AS2" s="117" t="s">
        <v>18</v>
      </c>
      <c r="AT2" s="118" t="s">
        <v>23</v>
      </c>
      <c r="AU2" s="119" t="s">
        <v>19</v>
      </c>
      <c r="AV2" s="120" t="s">
        <v>4</v>
      </c>
      <c r="AW2" s="121" t="s">
        <v>21</v>
      </c>
      <c r="AX2" s="121" t="s">
        <v>104</v>
      </c>
      <c r="AY2" s="121" t="s">
        <v>105</v>
      </c>
      <c r="AZ2" s="121" t="s">
        <v>106</v>
      </c>
      <c r="BA2" s="121" t="s">
        <v>107</v>
      </c>
      <c r="BB2" s="122"/>
      <c r="BC2" s="115"/>
      <c r="BD2" s="123" t="s">
        <v>263</v>
      </c>
      <c r="BE2" s="123" t="s">
        <v>264</v>
      </c>
      <c r="BF2" s="123" t="s">
        <v>265</v>
      </c>
      <c r="BG2" s="123" t="s">
        <v>266</v>
      </c>
    </row>
    <row r="3" spans="1:59" ht="14.45" customHeight="1" x14ac:dyDescent="0.25">
      <c r="A3" s="14"/>
      <c r="B3" s="232" t="s">
        <v>48</v>
      </c>
      <c r="C3" s="11" t="s">
        <v>94</v>
      </c>
      <c r="D3" s="11" t="s">
        <v>60</v>
      </c>
      <c r="E3" s="11" t="s">
        <v>254</v>
      </c>
      <c r="F3" s="11" t="s">
        <v>255</v>
      </c>
      <c r="G3" s="14" t="s">
        <v>96</v>
      </c>
      <c r="H3" s="32" t="s">
        <v>168</v>
      </c>
      <c r="I3" s="32" t="s">
        <v>364</v>
      </c>
      <c r="J3" s="39"/>
      <c r="K3" s="11" t="s">
        <v>256</v>
      </c>
      <c r="L3" s="11" t="s">
        <v>292</v>
      </c>
      <c r="M3" s="12">
        <v>81794.95</v>
      </c>
      <c r="N3" s="11" t="s">
        <v>71</v>
      </c>
      <c r="O3" s="135">
        <v>45667</v>
      </c>
      <c r="P3" s="135">
        <v>45667</v>
      </c>
      <c r="Q3" s="59" t="s">
        <v>73</v>
      </c>
      <c r="R3" s="135">
        <v>45667</v>
      </c>
      <c r="S3" s="172"/>
      <c r="T3" s="42" t="s">
        <v>103</v>
      </c>
      <c r="U3" s="38" t="s">
        <v>156</v>
      </c>
      <c r="V3" s="16">
        <v>0</v>
      </c>
      <c r="W3" s="17">
        <v>0</v>
      </c>
      <c r="X3" s="34">
        <f>V3+W3</f>
        <v>0</v>
      </c>
      <c r="Y3" s="51">
        <v>9001</v>
      </c>
      <c r="Z3" s="51">
        <v>5000127</v>
      </c>
      <c r="AA3" s="33" t="s">
        <v>156</v>
      </c>
      <c r="AB3" s="258">
        <v>45666</v>
      </c>
      <c r="AC3" s="23">
        <v>284104</v>
      </c>
      <c r="AD3" s="176" t="s">
        <v>103</v>
      </c>
      <c r="AE3" s="273" t="s">
        <v>103</v>
      </c>
      <c r="AF3" s="25">
        <v>0</v>
      </c>
      <c r="AG3" s="22" t="s">
        <v>95</v>
      </c>
      <c r="AH3" s="42" t="s">
        <v>318</v>
      </c>
      <c r="AI3" s="28">
        <v>8288</v>
      </c>
      <c r="AJ3" s="26" t="s">
        <v>103</v>
      </c>
      <c r="AK3" s="273" t="s">
        <v>156</v>
      </c>
      <c r="AL3" s="31">
        <v>0</v>
      </c>
      <c r="AM3" s="279" t="s">
        <v>156</v>
      </c>
      <c r="AN3" s="29">
        <v>0</v>
      </c>
      <c r="AO3" s="266" t="s">
        <v>103</v>
      </c>
      <c r="AP3" s="18" t="s">
        <v>156</v>
      </c>
      <c r="AQ3" s="18" t="s">
        <v>156</v>
      </c>
      <c r="AR3" s="30">
        <v>0</v>
      </c>
      <c r="AS3" s="26"/>
      <c r="AT3" s="19"/>
      <c r="AU3" s="14"/>
      <c r="AV3" s="40">
        <v>45671</v>
      </c>
      <c r="AW3" s="14" t="str">
        <f t="shared" ref="AW3:AW34" si="0">+E3&amp;" "&amp;K3&amp;" "&amp;" "&amp;Z3&amp;" "&amp;F3</f>
        <v>DRAGONG1001  2025-22001  5000127 4700064811 &amp; 4700064810</v>
      </c>
      <c r="AX3" s="14"/>
      <c r="AY3" s="14">
        <v>20000949</v>
      </c>
      <c r="AZ3" s="14"/>
      <c r="BA3" s="14"/>
      <c r="BB3" s="21" t="str">
        <f t="shared" ref="BB3:BB8" si="1">+F3</f>
        <v>4700064811 &amp; 4700064810</v>
      </c>
      <c r="BD3" s="90">
        <f t="shared" ref="BD3:BD34" si="2">+M3*$BD$1</f>
        <v>1717693.95</v>
      </c>
      <c r="BE3" s="90">
        <f t="shared" ref="BE3:BE34" si="3">+BD3*0.16</f>
        <v>274831.03200000001</v>
      </c>
      <c r="BF3" s="90">
        <f>+BD3*0.0058</f>
        <v>9962.6249099999986</v>
      </c>
      <c r="BG3" s="89">
        <f t="shared" ref="BG3:BG13" si="4">+BF3+BE3</f>
        <v>284793.65691000002</v>
      </c>
    </row>
    <row r="4" spans="1:59" ht="14.45" customHeight="1" x14ac:dyDescent="0.25">
      <c r="A4" s="14"/>
      <c r="B4" s="232" t="s">
        <v>48</v>
      </c>
      <c r="C4" s="59" t="s">
        <v>119</v>
      </c>
      <c r="D4" s="11" t="s">
        <v>26</v>
      </c>
      <c r="E4" s="59" t="s">
        <v>262</v>
      </c>
      <c r="F4" s="59" t="s">
        <v>26</v>
      </c>
      <c r="G4" s="11" t="s">
        <v>109</v>
      </c>
      <c r="H4" s="32" t="s">
        <v>122</v>
      </c>
      <c r="I4" s="32" t="s">
        <v>365</v>
      </c>
      <c r="J4" s="39" t="s">
        <v>260</v>
      </c>
      <c r="K4" s="59" t="s">
        <v>261</v>
      </c>
      <c r="L4" s="59" t="s">
        <v>294</v>
      </c>
      <c r="M4" s="60">
        <v>4</v>
      </c>
      <c r="N4" s="11" t="s">
        <v>71</v>
      </c>
      <c r="O4" s="134">
        <v>45636</v>
      </c>
      <c r="P4" s="134">
        <v>45653</v>
      </c>
      <c r="Q4" s="59" t="s">
        <v>73</v>
      </c>
      <c r="R4" s="134">
        <v>45666</v>
      </c>
      <c r="S4" s="61"/>
      <c r="T4" s="15" t="s">
        <v>34</v>
      </c>
      <c r="U4" s="38" t="s">
        <v>156</v>
      </c>
      <c r="V4" s="16">
        <v>0</v>
      </c>
      <c r="W4" s="17">
        <v>0</v>
      </c>
      <c r="X4" s="34">
        <v>0</v>
      </c>
      <c r="Y4" s="51">
        <v>3979</v>
      </c>
      <c r="Z4" s="51">
        <v>5000139</v>
      </c>
      <c r="AA4" s="33" t="s">
        <v>156</v>
      </c>
      <c r="AB4" s="258">
        <v>45666</v>
      </c>
      <c r="AC4" s="23">
        <v>81</v>
      </c>
      <c r="AD4" s="24" t="s">
        <v>91</v>
      </c>
      <c r="AE4" s="273" t="s">
        <v>317</v>
      </c>
      <c r="AF4" s="25">
        <v>10441.02</v>
      </c>
      <c r="AG4" s="22" t="s">
        <v>128</v>
      </c>
      <c r="AH4" s="273" t="s">
        <v>156</v>
      </c>
      <c r="AI4" s="28">
        <v>985.6</v>
      </c>
      <c r="AJ4" s="27" t="s">
        <v>103</v>
      </c>
      <c r="AK4" s="279" t="s">
        <v>156</v>
      </c>
      <c r="AL4" s="31">
        <v>0</v>
      </c>
      <c r="AM4" s="279" t="s">
        <v>156</v>
      </c>
      <c r="AN4" s="29">
        <v>0</v>
      </c>
      <c r="AO4" s="266" t="s">
        <v>103</v>
      </c>
      <c r="AP4" s="18" t="s">
        <v>156</v>
      </c>
      <c r="AQ4" s="18" t="s">
        <v>156</v>
      </c>
      <c r="AR4" s="30">
        <v>0</v>
      </c>
      <c r="AS4" s="26"/>
      <c r="AT4" s="19"/>
      <c r="AU4" s="14"/>
      <c r="AV4" s="40">
        <v>45671</v>
      </c>
      <c r="AW4" s="14" t="str">
        <f t="shared" si="0"/>
        <v>R+Co 743975818318  Chairlift01  5000139 MUESTRA</v>
      </c>
      <c r="AX4" s="14">
        <v>2000087</v>
      </c>
      <c r="AY4" s="14"/>
      <c r="AZ4" s="14"/>
      <c r="BA4" s="14"/>
      <c r="BB4" s="21" t="str">
        <f t="shared" si="1"/>
        <v>MUESTRA</v>
      </c>
      <c r="BD4" s="90">
        <f t="shared" si="2"/>
        <v>84</v>
      </c>
      <c r="BE4" s="90">
        <f t="shared" si="3"/>
        <v>13.44</v>
      </c>
      <c r="BF4" s="90">
        <f>+BD4*0.0058</f>
        <v>0.48719999999999997</v>
      </c>
      <c r="BG4" s="89">
        <f t="shared" si="4"/>
        <v>13.927199999999999</v>
      </c>
    </row>
    <row r="5" spans="1:59" ht="14.45" customHeight="1" x14ac:dyDescent="0.25">
      <c r="A5"/>
      <c r="B5" s="232" t="s">
        <v>48</v>
      </c>
      <c r="C5" s="11" t="s">
        <v>119</v>
      </c>
      <c r="D5" s="11" t="s">
        <v>26</v>
      </c>
      <c r="E5" s="11" t="s">
        <v>347</v>
      </c>
      <c r="F5" s="11" t="s">
        <v>26</v>
      </c>
      <c r="G5" s="11" t="s">
        <v>116</v>
      </c>
      <c r="H5" s="32" t="s">
        <v>122</v>
      </c>
      <c r="I5" s="32" t="s">
        <v>365</v>
      </c>
      <c r="J5" s="39" t="s">
        <v>348</v>
      </c>
      <c r="K5" s="11">
        <v>7</v>
      </c>
      <c r="L5" s="11" t="s">
        <v>294</v>
      </c>
      <c r="M5" s="12">
        <v>8.01</v>
      </c>
      <c r="N5" s="11" t="s">
        <v>71</v>
      </c>
      <c r="O5" s="135">
        <v>45667</v>
      </c>
      <c r="P5" s="135">
        <v>45670</v>
      </c>
      <c r="Q5" s="59" t="s">
        <v>73</v>
      </c>
      <c r="R5" s="135">
        <v>45674</v>
      </c>
      <c r="S5" s="61"/>
      <c r="T5" s="15" t="s">
        <v>34</v>
      </c>
      <c r="U5" s="38" t="s">
        <v>156</v>
      </c>
      <c r="V5" s="16">
        <v>0</v>
      </c>
      <c r="W5" s="17">
        <v>0</v>
      </c>
      <c r="X5" s="34">
        <v>0</v>
      </c>
      <c r="Y5" s="51">
        <v>3979</v>
      </c>
      <c r="Z5" s="51">
        <v>5000229</v>
      </c>
      <c r="AA5" s="33" t="s">
        <v>156</v>
      </c>
      <c r="AB5" s="258">
        <v>45674</v>
      </c>
      <c r="AC5" s="23">
        <v>164</v>
      </c>
      <c r="AD5" s="24" t="s">
        <v>91</v>
      </c>
      <c r="AE5" s="273" t="s">
        <v>349</v>
      </c>
      <c r="AF5" s="25">
        <v>10039.91</v>
      </c>
      <c r="AG5" s="22" t="s">
        <v>128</v>
      </c>
      <c r="AH5" s="273" t="s">
        <v>156</v>
      </c>
      <c r="AI5" s="28">
        <v>985.6</v>
      </c>
      <c r="AJ5" s="27" t="s">
        <v>103</v>
      </c>
      <c r="AK5" s="279" t="s">
        <v>156</v>
      </c>
      <c r="AL5" s="31">
        <v>0</v>
      </c>
      <c r="AM5" s="279" t="s">
        <v>156</v>
      </c>
      <c r="AN5" s="29">
        <v>0</v>
      </c>
      <c r="AO5" s="266" t="s">
        <v>103</v>
      </c>
      <c r="AP5" s="18" t="s">
        <v>156</v>
      </c>
      <c r="AQ5" s="18" t="s">
        <v>156</v>
      </c>
      <c r="AR5" s="30">
        <v>0</v>
      </c>
      <c r="AS5" s="26"/>
      <c r="AT5" s="19"/>
      <c r="AU5" s="14"/>
      <c r="AV5" s="40">
        <v>45685</v>
      </c>
      <c r="AW5" s="14" t="str">
        <f t="shared" si="0"/>
        <v>B&amp;BFX001  7  5000229 MUESTRA</v>
      </c>
      <c r="AX5" s="14">
        <v>20001106</v>
      </c>
      <c r="AY5" s="14"/>
      <c r="AZ5" s="14"/>
      <c r="BA5" s="14"/>
      <c r="BB5" s="21" t="str">
        <f t="shared" si="1"/>
        <v>MUESTRA</v>
      </c>
      <c r="BD5" s="90">
        <f t="shared" si="2"/>
        <v>168.21</v>
      </c>
      <c r="BE5" s="90">
        <f t="shared" si="3"/>
        <v>26.913600000000002</v>
      </c>
      <c r="BF5" s="90">
        <f>+BD5*0.0058</f>
        <v>0.97561799999999999</v>
      </c>
      <c r="BG5" s="89">
        <f t="shared" si="4"/>
        <v>27.889218000000003</v>
      </c>
    </row>
    <row r="6" spans="1:59" ht="14.45" customHeight="1" x14ac:dyDescent="0.25">
      <c r="A6" s="14"/>
      <c r="B6" s="232" t="s">
        <v>48</v>
      </c>
      <c r="C6" s="11" t="s">
        <v>119</v>
      </c>
      <c r="D6" s="11" t="s">
        <v>26</v>
      </c>
      <c r="E6" s="11" t="s">
        <v>350</v>
      </c>
      <c r="F6" s="11" t="s">
        <v>26</v>
      </c>
      <c r="G6" s="11" t="s">
        <v>116</v>
      </c>
      <c r="H6" s="32" t="s">
        <v>122</v>
      </c>
      <c r="I6" s="32" t="s">
        <v>365</v>
      </c>
      <c r="J6" s="39" t="s">
        <v>351</v>
      </c>
      <c r="K6" s="11">
        <v>10000427</v>
      </c>
      <c r="L6" s="11" t="s">
        <v>294</v>
      </c>
      <c r="M6" s="12">
        <v>14355.3</v>
      </c>
      <c r="N6" s="11" t="s">
        <v>71</v>
      </c>
      <c r="O6" s="135">
        <v>45671</v>
      </c>
      <c r="P6" s="135">
        <v>45679</v>
      </c>
      <c r="Q6" s="59" t="s">
        <v>73</v>
      </c>
      <c r="R6" s="135">
        <v>45679</v>
      </c>
      <c r="S6" s="11"/>
      <c r="T6" s="15" t="s">
        <v>34</v>
      </c>
      <c r="U6" s="38" t="s">
        <v>156</v>
      </c>
      <c r="V6" s="16">
        <v>0</v>
      </c>
      <c r="W6" s="17">
        <v>0</v>
      </c>
      <c r="X6" s="34">
        <v>0</v>
      </c>
      <c r="Y6" s="51">
        <v>3979</v>
      </c>
      <c r="Z6" s="51">
        <v>5000275</v>
      </c>
      <c r="AA6" s="33" t="s">
        <v>156</v>
      </c>
      <c r="AB6" s="258">
        <v>45679</v>
      </c>
      <c r="AC6" s="23">
        <v>292530</v>
      </c>
      <c r="AD6" s="24" t="s">
        <v>91</v>
      </c>
      <c r="AE6" s="273" t="s">
        <v>352</v>
      </c>
      <c r="AF6" s="25">
        <v>10461.91</v>
      </c>
      <c r="AG6" s="22" t="s">
        <v>128</v>
      </c>
      <c r="AH6" s="273" t="s">
        <v>156</v>
      </c>
      <c r="AI6" s="28">
        <v>985.6</v>
      </c>
      <c r="AJ6" s="27" t="s">
        <v>103</v>
      </c>
      <c r="AK6" s="279" t="s">
        <v>156</v>
      </c>
      <c r="AL6" s="31">
        <v>0</v>
      </c>
      <c r="AM6" s="279" t="s">
        <v>156</v>
      </c>
      <c r="AN6" s="29">
        <v>0</v>
      </c>
      <c r="AO6" s="266" t="s">
        <v>103</v>
      </c>
      <c r="AP6" s="18" t="s">
        <v>156</v>
      </c>
      <c r="AQ6" s="18" t="s">
        <v>156</v>
      </c>
      <c r="AR6" s="30">
        <v>0</v>
      </c>
      <c r="AS6" s="26"/>
      <c r="AT6" s="19"/>
      <c r="AU6" s="14"/>
      <c r="AV6" s="40">
        <v>45685</v>
      </c>
      <c r="AW6" s="14" t="str">
        <f t="shared" si="0"/>
        <v>B&amp;BCAB001 10000427  5000275 MUESTRA</v>
      </c>
      <c r="AX6" s="14">
        <v>20001107</v>
      </c>
      <c r="AY6" s="14"/>
      <c r="AZ6" s="14"/>
      <c r="BA6" s="14"/>
      <c r="BB6" s="21" t="str">
        <f t="shared" si="1"/>
        <v>MUESTRA</v>
      </c>
      <c r="BD6" s="90">
        <f t="shared" si="2"/>
        <v>301461.3</v>
      </c>
      <c r="BE6" s="90">
        <f t="shared" si="3"/>
        <v>48233.807999999997</v>
      </c>
      <c r="BF6" s="90">
        <f>+BD6*0.0058</f>
        <v>1748.4755399999999</v>
      </c>
      <c r="BG6" s="89">
        <f t="shared" si="4"/>
        <v>49982.283539999997</v>
      </c>
    </row>
    <row r="7" spans="1:59" ht="14.45" customHeight="1" x14ac:dyDescent="0.25">
      <c r="A7" s="14"/>
      <c r="B7" s="232" t="s">
        <v>48</v>
      </c>
      <c r="C7" s="11" t="s">
        <v>67</v>
      </c>
      <c r="D7" s="11" t="s">
        <v>60</v>
      </c>
      <c r="E7" s="11" t="s">
        <v>258</v>
      </c>
      <c r="F7" s="11">
        <v>4700064580</v>
      </c>
      <c r="G7" s="11" t="s">
        <v>126</v>
      </c>
      <c r="H7" s="32" t="s">
        <v>123</v>
      </c>
      <c r="I7" s="32" t="s">
        <v>365</v>
      </c>
      <c r="J7" s="39" t="s">
        <v>259</v>
      </c>
      <c r="K7" s="11">
        <v>36666</v>
      </c>
      <c r="L7" s="11" t="s">
        <v>293</v>
      </c>
      <c r="M7" s="12">
        <v>33264</v>
      </c>
      <c r="N7" s="11" t="s">
        <v>71</v>
      </c>
      <c r="O7" s="135" t="s">
        <v>156</v>
      </c>
      <c r="P7" s="135">
        <v>45659</v>
      </c>
      <c r="Q7" s="59" t="s">
        <v>73</v>
      </c>
      <c r="R7" s="135">
        <v>45667</v>
      </c>
      <c r="S7" s="11"/>
      <c r="T7" s="15" t="s">
        <v>34</v>
      </c>
      <c r="U7" s="38" t="s">
        <v>156</v>
      </c>
      <c r="V7" s="16">
        <v>0</v>
      </c>
      <c r="W7" s="17">
        <v>0</v>
      </c>
      <c r="X7" s="34">
        <v>0</v>
      </c>
      <c r="Y7" s="51">
        <v>3945</v>
      </c>
      <c r="Z7" s="51">
        <v>5000444</v>
      </c>
      <c r="AA7" s="33" t="s">
        <v>156</v>
      </c>
      <c r="AB7" s="258">
        <v>45663</v>
      </c>
      <c r="AC7" s="23">
        <v>682255</v>
      </c>
      <c r="AD7" s="24" t="s">
        <v>90</v>
      </c>
      <c r="AE7" s="273">
        <v>74411</v>
      </c>
      <c r="AF7" s="47">
        <v>20825.77</v>
      </c>
      <c r="AG7" s="53" t="s">
        <v>34</v>
      </c>
      <c r="AH7" s="273" t="s">
        <v>156</v>
      </c>
      <c r="AI7" s="28">
        <v>0</v>
      </c>
      <c r="AJ7" s="26" t="s">
        <v>103</v>
      </c>
      <c r="AK7" s="279" t="s">
        <v>156</v>
      </c>
      <c r="AL7" s="31">
        <v>0</v>
      </c>
      <c r="AM7" s="279" t="s">
        <v>156</v>
      </c>
      <c r="AN7" s="29">
        <v>0</v>
      </c>
      <c r="AO7" s="266" t="s">
        <v>103</v>
      </c>
      <c r="AP7" s="18" t="s">
        <v>156</v>
      </c>
      <c r="AQ7" s="18" t="s">
        <v>156</v>
      </c>
      <c r="AR7" s="30">
        <v>0</v>
      </c>
      <c r="AS7" s="26"/>
      <c r="AT7" s="19"/>
      <c r="AU7" s="14"/>
      <c r="AV7" s="40">
        <v>45685</v>
      </c>
      <c r="AW7" s="14" t="str">
        <f t="shared" si="0"/>
        <v>ATINA001 36666  5000444 4700064580</v>
      </c>
      <c r="AX7" s="14">
        <v>20001120</v>
      </c>
      <c r="AY7" s="14"/>
      <c r="AZ7" s="14"/>
      <c r="BA7" s="14"/>
      <c r="BB7" s="21">
        <f t="shared" si="1"/>
        <v>4700064580</v>
      </c>
      <c r="BD7" s="90">
        <f t="shared" si="2"/>
        <v>698544</v>
      </c>
      <c r="BE7" s="90">
        <f t="shared" si="3"/>
        <v>111767.04000000001</v>
      </c>
      <c r="BF7" s="90">
        <f>+BD7*0.008</f>
        <v>5588.3519999999999</v>
      </c>
      <c r="BG7" s="89">
        <f t="shared" si="4"/>
        <v>117355.39200000001</v>
      </c>
    </row>
    <row r="8" spans="1:59" ht="14.45" customHeight="1" x14ac:dyDescent="0.25">
      <c r="A8" s="14"/>
      <c r="B8" s="232" t="s">
        <v>48</v>
      </c>
      <c r="C8" s="11" t="s">
        <v>65</v>
      </c>
      <c r="D8" s="11" t="s">
        <v>61</v>
      </c>
      <c r="E8" s="11" t="s">
        <v>158</v>
      </c>
      <c r="F8" s="11" t="s">
        <v>161</v>
      </c>
      <c r="G8" s="14" t="s">
        <v>126</v>
      </c>
      <c r="H8" s="32" t="s">
        <v>142</v>
      </c>
      <c r="I8" s="32" t="s">
        <v>365</v>
      </c>
      <c r="J8" s="39" t="s">
        <v>234</v>
      </c>
      <c r="K8" s="11" t="s">
        <v>160</v>
      </c>
      <c r="L8" s="11" t="s">
        <v>292</v>
      </c>
      <c r="M8" s="48">
        <f>30096+12007.05</f>
        <v>42103.05</v>
      </c>
      <c r="N8" s="11" t="s">
        <v>71</v>
      </c>
      <c r="O8" s="135">
        <v>45621</v>
      </c>
      <c r="P8" s="135">
        <v>45654</v>
      </c>
      <c r="Q8" s="59" t="s">
        <v>73</v>
      </c>
      <c r="R8" s="135">
        <v>45668</v>
      </c>
      <c r="S8" s="173"/>
      <c r="T8" s="15" t="s">
        <v>145</v>
      </c>
      <c r="U8" s="38" t="s">
        <v>340</v>
      </c>
      <c r="V8" s="16">
        <v>6600</v>
      </c>
      <c r="W8" s="17">
        <v>0</v>
      </c>
      <c r="X8" s="34">
        <f t="shared" ref="X8:X40" si="5">V8+W8</f>
        <v>6600</v>
      </c>
      <c r="Y8" s="51">
        <v>3921</v>
      </c>
      <c r="Z8" s="51">
        <v>5000579</v>
      </c>
      <c r="AA8" s="33" t="s">
        <v>156</v>
      </c>
      <c r="AB8" s="258">
        <v>45666</v>
      </c>
      <c r="AC8" s="23">
        <v>849038</v>
      </c>
      <c r="AD8" s="24" t="s">
        <v>90</v>
      </c>
      <c r="AE8" s="273">
        <v>74569</v>
      </c>
      <c r="AF8" s="47">
        <v>83769.899999999994</v>
      </c>
      <c r="AG8" s="22" t="s">
        <v>128</v>
      </c>
      <c r="AH8" s="273" t="s">
        <v>156</v>
      </c>
      <c r="AI8" s="28">
        <v>0</v>
      </c>
      <c r="AJ8" s="27" t="s">
        <v>118</v>
      </c>
      <c r="AK8" s="279">
        <v>10723</v>
      </c>
      <c r="AL8" s="31">
        <v>8810</v>
      </c>
      <c r="AM8" s="279" t="s">
        <v>156</v>
      </c>
      <c r="AN8" s="29">
        <v>0</v>
      </c>
      <c r="AO8" s="266" t="s">
        <v>103</v>
      </c>
      <c r="AP8" s="18" t="s">
        <v>156</v>
      </c>
      <c r="AQ8" s="18" t="s">
        <v>156</v>
      </c>
      <c r="AR8" s="30">
        <v>0</v>
      </c>
      <c r="AS8" s="26"/>
      <c r="AT8" s="19"/>
      <c r="AU8" s="14"/>
      <c r="AV8" s="40">
        <v>45685</v>
      </c>
      <c r="AW8" s="14" t="str">
        <f t="shared" si="0"/>
        <v>IMPACTA#01 6260, 6273  5000579 4700064006, 4700064007</v>
      </c>
      <c r="AX8" s="14">
        <v>20001178</v>
      </c>
      <c r="AY8" s="14">
        <v>40000044</v>
      </c>
      <c r="AZ8" s="14"/>
      <c r="BA8" s="14"/>
      <c r="BB8" s="21" t="str">
        <f t="shared" si="1"/>
        <v>4700064006, 4700064007</v>
      </c>
      <c r="BD8" s="90">
        <f t="shared" si="2"/>
        <v>884164.05</v>
      </c>
      <c r="BE8" s="90">
        <f t="shared" si="3"/>
        <v>141466.24800000002</v>
      </c>
      <c r="BF8" s="90">
        <f>+BD8*0.0058</f>
        <v>5128.1514900000002</v>
      </c>
      <c r="BG8" s="89">
        <f t="shared" si="4"/>
        <v>146594.39949000001</v>
      </c>
    </row>
    <row r="9" spans="1:59" ht="14.45" customHeight="1" x14ac:dyDescent="0.25">
      <c r="A9" s="14"/>
      <c r="B9" s="232" t="s">
        <v>48</v>
      </c>
      <c r="C9" s="11" t="s">
        <v>65</v>
      </c>
      <c r="D9" s="11" t="s">
        <v>60</v>
      </c>
      <c r="E9" s="11" t="s">
        <v>183</v>
      </c>
      <c r="F9" s="138" t="s">
        <v>184</v>
      </c>
      <c r="G9" s="11" t="s">
        <v>116</v>
      </c>
      <c r="H9" s="32" t="s">
        <v>275</v>
      </c>
      <c r="I9" s="32" t="s">
        <v>365</v>
      </c>
      <c r="J9" s="39" t="s">
        <v>199</v>
      </c>
      <c r="K9" s="11" t="s">
        <v>185</v>
      </c>
      <c r="L9" s="11" t="s">
        <v>291</v>
      </c>
      <c r="M9" s="12">
        <v>14580</v>
      </c>
      <c r="N9" s="11" t="s">
        <v>72</v>
      </c>
      <c r="O9" s="135">
        <v>45625</v>
      </c>
      <c r="P9" s="135">
        <v>45648</v>
      </c>
      <c r="Q9" s="11" t="s">
        <v>73</v>
      </c>
      <c r="R9" s="135">
        <v>45668</v>
      </c>
      <c r="S9" s="173"/>
      <c r="T9" s="15" t="s">
        <v>34</v>
      </c>
      <c r="U9" s="38" t="s">
        <v>156</v>
      </c>
      <c r="V9" s="16">
        <v>0</v>
      </c>
      <c r="W9" s="17">
        <v>0</v>
      </c>
      <c r="X9" s="34">
        <f t="shared" si="5"/>
        <v>0</v>
      </c>
      <c r="Y9" s="51">
        <v>3921</v>
      </c>
      <c r="Z9" s="51">
        <v>5000580</v>
      </c>
      <c r="AA9" s="33" t="s">
        <v>156</v>
      </c>
      <c r="AB9" s="258">
        <v>45661</v>
      </c>
      <c r="AC9" s="23">
        <v>314826</v>
      </c>
      <c r="AD9" s="24" t="s">
        <v>90</v>
      </c>
      <c r="AE9" s="273">
        <v>74675</v>
      </c>
      <c r="AF9" s="47">
        <v>55743.29</v>
      </c>
      <c r="AG9" s="22" t="s">
        <v>128</v>
      </c>
      <c r="AH9" s="273" t="s">
        <v>156</v>
      </c>
      <c r="AI9" s="28">
        <v>20000</v>
      </c>
      <c r="AJ9" s="27" t="s">
        <v>118</v>
      </c>
      <c r="AK9" s="279" t="s">
        <v>98</v>
      </c>
      <c r="AL9" s="31">
        <v>0</v>
      </c>
      <c r="AM9" s="279" t="s">
        <v>156</v>
      </c>
      <c r="AN9" s="29">
        <v>0</v>
      </c>
      <c r="AO9" s="266" t="s">
        <v>103</v>
      </c>
      <c r="AP9" s="18" t="s">
        <v>156</v>
      </c>
      <c r="AQ9" s="18" t="s">
        <v>156</v>
      </c>
      <c r="AR9" s="30">
        <v>0</v>
      </c>
      <c r="AS9" s="26"/>
      <c r="AT9" s="19"/>
      <c r="AU9" s="14"/>
      <c r="AV9" s="40">
        <v>45706</v>
      </c>
      <c r="AW9" s="14" t="str">
        <f t="shared" si="0"/>
        <v>AMIK#03 E24-000249  5000580 4700064884, 4700064782, 4700063835, 4700063899</v>
      </c>
      <c r="AX9" s="14"/>
      <c r="AY9" s="14"/>
      <c r="AZ9" s="14"/>
      <c r="BA9" s="14"/>
      <c r="BB9" s="21"/>
      <c r="BD9" s="90">
        <f t="shared" si="2"/>
        <v>306180</v>
      </c>
      <c r="BE9" s="90">
        <f t="shared" si="3"/>
        <v>48988.800000000003</v>
      </c>
      <c r="BF9" s="90">
        <f>+BD9*0.0008</f>
        <v>244.94400000000002</v>
      </c>
      <c r="BG9" s="89">
        <f t="shared" si="4"/>
        <v>49233.744000000006</v>
      </c>
    </row>
    <row r="10" spans="1:59" ht="14.45" customHeight="1" x14ac:dyDescent="0.25">
      <c r="A10" s="14" t="s">
        <v>527</v>
      </c>
      <c r="B10" s="232" t="s">
        <v>48</v>
      </c>
      <c r="C10" s="11" t="s">
        <v>65</v>
      </c>
      <c r="D10" s="11" t="s">
        <v>60</v>
      </c>
      <c r="E10" s="11" t="s">
        <v>207</v>
      </c>
      <c r="F10" s="11">
        <v>4700065448</v>
      </c>
      <c r="G10" s="11" t="s">
        <v>219</v>
      </c>
      <c r="H10" s="32" t="s">
        <v>123</v>
      </c>
      <c r="I10" s="32" t="s">
        <v>365</v>
      </c>
      <c r="J10" s="39" t="s">
        <v>247</v>
      </c>
      <c r="K10" s="11" t="s">
        <v>218</v>
      </c>
      <c r="L10" s="11" t="s">
        <v>292</v>
      </c>
      <c r="M10" s="12">
        <v>1654.4</v>
      </c>
      <c r="N10" s="11" t="s">
        <v>71</v>
      </c>
      <c r="O10" s="135">
        <v>45660</v>
      </c>
      <c r="P10" s="135">
        <v>45675</v>
      </c>
      <c r="Q10" s="11" t="s">
        <v>73</v>
      </c>
      <c r="R10" s="135">
        <v>45688</v>
      </c>
      <c r="S10" s="11"/>
      <c r="T10" s="15" t="s">
        <v>146</v>
      </c>
      <c r="U10" s="38" t="s">
        <v>353</v>
      </c>
      <c r="V10" s="152">
        <v>70</v>
      </c>
      <c r="W10" s="17">
        <f>488.2-70</f>
        <v>418.2</v>
      </c>
      <c r="X10" s="34">
        <f t="shared" si="5"/>
        <v>488.2</v>
      </c>
      <c r="Y10" s="51">
        <v>3921</v>
      </c>
      <c r="Z10" s="51">
        <v>5000581</v>
      </c>
      <c r="AA10" s="33" t="s">
        <v>156</v>
      </c>
      <c r="AB10" s="258">
        <v>45686</v>
      </c>
      <c r="AC10" s="23">
        <v>34367</v>
      </c>
      <c r="AD10" s="24" t="s">
        <v>90</v>
      </c>
      <c r="AE10" s="273" t="s">
        <v>98</v>
      </c>
      <c r="AF10" s="25">
        <v>0</v>
      </c>
      <c r="AG10" s="22" t="s">
        <v>128</v>
      </c>
      <c r="AH10" s="273" t="s">
        <v>156</v>
      </c>
      <c r="AI10" s="28">
        <v>0</v>
      </c>
      <c r="AJ10" s="27" t="s">
        <v>118</v>
      </c>
      <c r="AK10" s="279">
        <v>10804</v>
      </c>
      <c r="AL10" s="31">
        <v>17620</v>
      </c>
      <c r="AM10" s="279" t="s">
        <v>156</v>
      </c>
      <c r="AN10" s="29">
        <v>0</v>
      </c>
      <c r="AO10" s="266" t="s">
        <v>103</v>
      </c>
      <c r="AP10" s="18" t="s">
        <v>156</v>
      </c>
      <c r="AQ10" s="18" t="s">
        <v>156</v>
      </c>
      <c r="AR10" s="30">
        <v>0</v>
      </c>
      <c r="AS10" s="26"/>
      <c r="AT10" s="19"/>
      <c r="AU10" s="14"/>
      <c r="AV10" s="40">
        <v>45685</v>
      </c>
      <c r="AW10" s="14" t="str">
        <f t="shared" si="0"/>
        <v>BIOHENSE#02  F24-55  5000581 4700065448</v>
      </c>
      <c r="AX10" s="14"/>
      <c r="AY10" s="14"/>
      <c r="AZ10" s="14"/>
      <c r="BA10" s="14"/>
      <c r="BB10" s="21"/>
      <c r="BD10" s="90">
        <f t="shared" si="2"/>
        <v>34742.400000000001</v>
      </c>
      <c r="BE10" s="90">
        <f t="shared" si="3"/>
        <v>5558.7840000000006</v>
      </c>
      <c r="BF10" s="90">
        <f>+BD10*0.0058</f>
        <v>201.50592</v>
      </c>
      <c r="BG10" s="89">
        <f t="shared" si="4"/>
        <v>5760.2899200000002</v>
      </c>
    </row>
    <row r="11" spans="1:59" ht="14.45" customHeight="1" x14ac:dyDescent="0.25">
      <c r="A11" s="14"/>
      <c r="B11" s="232" t="s">
        <v>48</v>
      </c>
      <c r="C11" s="11" t="s">
        <v>65</v>
      </c>
      <c r="D11" s="11" t="s">
        <v>60</v>
      </c>
      <c r="E11" s="11" t="s">
        <v>163</v>
      </c>
      <c r="F11" s="11" t="s">
        <v>195</v>
      </c>
      <c r="G11" s="11" t="s">
        <v>115</v>
      </c>
      <c r="H11" s="32" t="s">
        <v>123</v>
      </c>
      <c r="I11" s="32" t="s">
        <v>365</v>
      </c>
      <c r="J11" s="39" t="s">
        <v>244</v>
      </c>
      <c r="K11" s="11">
        <v>500706</v>
      </c>
      <c r="L11" s="11" t="s">
        <v>292</v>
      </c>
      <c r="M11" s="12">
        <v>8042.5</v>
      </c>
      <c r="N11" s="11" t="s">
        <v>72</v>
      </c>
      <c r="O11" s="135">
        <v>45644</v>
      </c>
      <c r="P11" s="135">
        <v>45673</v>
      </c>
      <c r="Q11" s="11" t="s">
        <v>73</v>
      </c>
      <c r="R11" s="135">
        <v>45685</v>
      </c>
      <c r="S11" s="11"/>
      <c r="T11" s="15" t="s">
        <v>159</v>
      </c>
      <c r="U11" s="38" t="s">
        <v>343</v>
      </c>
      <c r="V11" s="16">
        <v>685</v>
      </c>
      <c r="W11" s="17">
        <f>3634.38-685-1803.85</f>
        <v>1145.5300000000002</v>
      </c>
      <c r="X11" s="34">
        <f t="shared" si="5"/>
        <v>1830.5300000000002</v>
      </c>
      <c r="Y11" s="51">
        <v>3921</v>
      </c>
      <c r="Z11" s="51">
        <v>5000582</v>
      </c>
      <c r="AA11" s="33" t="s">
        <v>156</v>
      </c>
      <c r="AB11" s="258">
        <v>45679</v>
      </c>
      <c r="AC11" s="23">
        <v>170612</v>
      </c>
      <c r="AD11" s="24" t="s">
        <v>90</v>
      </c>
      <c r="AE11" s="273" t="s">
        <v>98</v>
      </c>
      <c r="AF11" s="25">
        <v>0</v>
      </c>
      <c r="AG11" s="22" t="s">
        <v>159</v>
      </c>
      <c r="AH11" s="42" t="s">
        <v>344</v>
      </c>
      <c r="AI11" s="28">
        <v>1803.85</v>
      </c>
      <c r="AJ11" s="27" t="s">
        <v>118</v>
      </c>
      <c r="AK11" s="279">
        <v>10790</v>
      </c>
      <c r="AL11" s="31">
        <v>8810</v>
      </c>
      <c r="AM11" s="279" t="s">
        <v>156</v>
      </c>
      <c r="AN11" s="29">
        <v>0</v>
      </c>
      <c r="AO11" s="266" t="s">
        <v>103</v>
      </c>
      <c r="AP11" s="18" t="s">
        <v>156</v>
      </c>
      <c r="AQ11" s="18" t="s">
        <v>156</v>
      </c>
      <c r="AR11" s="30">
        <v>0</v>
      </c>
      <c r="AS11" s="26"/>
      <c r="AT11" s="19"/>
      <c r="AU11" s="14"/>
      <c r="AV11" s="40" t="s">
        <v>526</v>
      </c>
      <c r="AW11" s="14" t="str">
        <f t="shared" si="0"/>
        <v>BRENNTAG#07 500706  5000582 4700064803 + 4700064184</v>
      </c>
      <c r="AX11" s="14"/>
      <c r="AY11" s="14">
        <v>20001804</v>
      </c>
      <c r="AZ11" s="14"/>
      <c r="BA11" s="14"/>
      <c r="BB11" s="21" t="str">
        <f>+F11</f>
        <v>4700064803 + 4700064184</v>
      </c>
      <c r="BD11" s="90">
        <f t="shared" si="2"/>
        <v>168892.5</v>
      </c>
      <c r="BE11" s="90">
        <f t="shared" si="3"/>
        <v>27022.799999999999</v>
      </c>
      <c r="BF11" s="90">
        <f>+BD11*0.0058</f>
        <v>979.5764999999999</v>
      </c>
      <c r="BG11" s="89">
        <f t="shared" si="4"/>
        <v>28002.376499999998</v>
      </c>
    </row>
    <row r="12" spans="1:59" ht="14.45" customHeight="1" x14ac:dyDescent="0.25">
      <c r="A12" s="14"/>
      <c r="B12" s="232" t="s">
        <v>48</v>
      </c>
      <c r="C12" s="11" t="s">
        <v>65</v>
      </c>
      <c r="D12" s="11" t="s">
        <v>60</v>
      </c>
      <c r="E12" s="11" t="s">
        <v>164</v>
      </c>
      <c r="F12" s="138">
        <v>4700063917</v>
      </c>
      <c r="G12" s="11" t="s">
        <v>166</v>
      </c>
      <c r="H12" s="32" t="s">
        <v>165</v>
      </c>
      <c r="I12" s="32" t="s">
        <v>365</v>
      </c>
      <c r="J12" s="39" t="s">
        <v>245</v>
      </c>
      <c r="K12" s="11">
        <v>3241</v>
      </c>
      <c r="L12" s="11" t="s">
        <v>292</v>
      </c>
      <c r="M12" s="12">
        <v>34650</v>
      </c>
      <c r="N12" s="11" t="s">
        <v>72</v>
      </c>
      <c r="O12" s="135">
        <v>45632</v>
      </c>
      <c r="P12" s="135">
        <v>45678</v>
      </c>
      <c r="Q12" s="11" t="s">
        <v>73</v>
      </c>
      <c r="R12" s="135">
        <v>45681</v>
      </c>
      <c r="S12" s="11"/>
      <c r="T12" s="15" t="s">
        <v>144</v>
      </c>
      <c r="U12" s="38" t="s">
        <v>345</v>
      </c>
      <c r="V12" s="152">
        <v>3400</v>
      </c>
      <c r="W12" s="17">
        <f>120+19.2</f>
        <v>139.19999999999999</v>
      </c>
      <c r="X12" s="34">
        <f t="shared" si="5"/>
        <v>3539.2</v>
      </c>
      <c r="Y12" s="51">
        <v>3921</v>
      </c>
      <c r="Z12" s="51">
        <v>5000583</v>
      </c>
      <c r="AA12" s="33" t="s">
        <v>156</v>
      </c>
      <c r="AB12" s="258">
        <v>45679</v>
      </c>
      <c r="AC12" s="23">
        <v>720762</v>
      </c>
      <c r="AD12" s="24" t="s">
        <v>90</v>
      </c>
      <c r="AE12" s="273" t="s">
        <v>98</v>
      </c>
      <c r="AF12" s="25">
        <v>0</v>
      </c>
      <c r="AG12" s="22" t="s">
        <v>128</v>
      </c>
      <c r="AH12" s="273" t="s">
        <v>156</v>
      </c>
      <c r="AI12" s="28">
        <v>0</v>
      </c>
      <c r="AJ12" s="27" t="s">
        <v>118</v>
      </c>
      <c r="AK12" s="279">
        <v>10766</v>
      </c>
      <c r="AL12" s="31">
        <v>8810</v>
      </c>
      <c r="AM12" s="279" t="s">
        <v>156</v>
      </c>
      <c r="AN12" s="29">
        <v>0</v>
      </c>
      <c r="AO12" s="266" t="s">
        <v>103</v>
      </c>
      <c r="AP12" s="18" t="s">
        <v>156</v>
      </c>
      <c r="AQ12" s="18" t="s">
        <v>156</v>
      </c>
      <c r="AR12" s="30">
        <v>0</v>
      </c>
      <c r="AS12" s="26"/>
      <c r="AT12" s="19"/>
      <c r="AU12" s="14"/>
      <c r="AV12" s="40">
        <v>45685</v>
      </c>
      <c r="AW12" s="14" t="str">
        <f t="shared" si="0"/>
        <v>TPS RENTAL#01  3241  5000583 4700063917</v>
      </c>
      <c r="AX12" s="14"/>
      <c r="AY12" s="14">
        <v>20001193</v>
      </c>
      <c r="AZ12" s="14"/>
      <c r="BA12" s="14">
        <v>20001194</v>
      </c>
      <c r="BB12" s="21">
        <f>+F12</f>
        <v>4700063917</v>
      </c>
      <c r="BD12" s="90">
        <f t="shared" si="2"/>
        <v>727650</v>
      </c>
      <c r="BE12" s="90">
        <f t="shared" si="3"/>
        <v>116424</v>
      </c>
      <c r="BF12" s="90">
        <f>+BD12*0.0058</f>
        <v>4220.37</v>
      </c>
      <c r="BG12" s="89">
        <f t="shared" si="4"/>
        <v>120644.37</v>
      </c>
    </row>
    <row r="13" spans="1:59" ht="14.45" customHeight="1" x14ac:dyDescent="0.25">
      <c r="A13" s="14"/>
      <c r="B13" s="232" t="s">
        <v>48</v>
      </c>
      <c r="C13" s="11" t="s">
        <v>65</v>
      </c>
      <c r="D13" s="11" t="s">
        <v>60</v>
      </c>
      <c r="E13" s="11" t="s">
        <v>191</v>
      </c>
      <c r="F13" s="11">
        <v>4700065308</v>
      </c>
      <c r="G13" s="11" t="s">
        <v>115</v>
      </c>
      <c r="H13" s="32" t="s">
        <v>121</v>
      </c>
      <c r="I13" s="32" t="s">
        <v>367</v>
      </c>
      <c r="J13" s="11" t="s">
        <v>246</v>
      </c>
      <c r="K13" s="11" t="s">
        <v>217</v>
      </c>
      <c r="L13" s="11" t="s">
        <v>292</v>
      </c>
      <c r="M13" s="12">
        <v>50194</v>
      </c>
      <c r="N13" s="11" t="s">
        <v>72</v>
      </c>
      <c r="O13" s="135">
        <v>45660</v>
      </c>
      <c r="P13" s="135">
        <v>45675</v>
      </c>
      <c r="Q13" s="11" t="s">
        <v>73</v>
      </c>
      <c r="R13" s="135">
        <v>45688</v>
      </c>
      <c r="S13" s="11"/>
      <c r="T13" s="15" t="s">
        <v>192</v>
      </c>
      <c r="U13" s="38" t="s">
        <v>98</v>
      </c>
      <c r="V13" s="16">
        <v>0</v>
      </c>
      <c r="W13" s="17">
        <v>0</v>
      </c>
      <c r="X13" s="34">
        <f t="shared" si="5"/>
        <v>0</v>
      </c>
      <c r="Y13" s="51">
        <v>3921</v>
      </c>
      <c r="Z13" s="51">
        <v>5000584</v>
      </c>
      <c r="AA13" s="33" t="s">
        <v>156</v>
      </c>
      <c r="AB13" s="258">
        <v>45685</v>
      </c>
      <c r="AC13" s="23">
        <v>1079652</v>
      </c>
      <c r="AD13" s="24" t="s">
        <v>90</v>
      </c>
      <c r="AE13" s="273" t="s">
        <v>98</v>
      </c>
      <c r="AF13" s="25">
        <v>0</v>
      </c>
      <c r="AG13" s="22" t="s">
        <v>192</v>
      </c>
      <c r="AH13" s="273" t="s">
        <v>98</v>
      </c>
      <c r="AI13" s="28">
        <v>0</v>
      </c>
      <c r="AJ13" s="27" t="s">
        <v>118</v>
      </c>
      <c r="AK13" s="279">
        <v>10796</v>
      </c>
      <c r="AL13" s="31">
        <v>8810</v>
      </c>
      <c r="AM13" s="279" t="s">
        <v>156</v>
      </c>
      <c r="AN13" s="29">
        <v>0</v>
      </c>
      <c r="AO13" s="266" t="s">
        <v>103</v>
      </c>
      <c r="AP13" s="18" t="s">
        <v>156</v>
      </c>
      <c r="AQ13" s="18" t="s">
        <v>156</v>
      </c>
      <c r="AR13" s="30">
        <v>0</v>
      </c>
      <c r="AS13" s="26"/>
      <c r="AT13" s="19"/>
      <c r="AU13" s="14"/>
      <c r="AV13" s="40">
        <v>45706</v>
      </c>
      <c r="AW13" s="14" t="str">
        <f t="shared" si="0"/>
        <v>ERCA#12  V2-721  5000584 4700065308</v>
      </c>
      <c r="AX13" s="14"/>
      <c r="AY13" s="14"/>
      <c r="AZ13" s="14"/>
      <c r="BA13" s="14"/>
      <c r="BB13" s="21">
        <f t="shared" ref="BB13:BB34" si="6">+F13</f>
        <v>4700065308</v>
      </c>
      <c r="BD13" s="90">
        <f t="shared" si="2"/>
        <v>1054074</v>
      </c>
      <c r="BE13" s="90">
        <f t="shared" si="3"/>
        <v>168651.84</v>
      </c>
      <c r="BF13" s="90">
        <f>+BD13*0.0058</f>
        <v>6113.6291999999994</v>
      </c>
      <c r="BG13" s="89">
        <f t="shared" si="4"/>
        <v>174765.46919999999</v>
      </c>
    </row>
    <row r="14" spans="1:59" ht="14.45" customHeight="1" x14ac:dyDescent="0.25">
      <c r="A14" s="14"/>
      <c r="B14" s="232" t="s">
        <v>48</v>
      </c>
      <c r="C14" s="11" t="s">
        <v>65</v>
      </c>
      <c r="D14" s="11" t="s">
        <v>60</v>
      </c>
      <c r="E14" s="11" t="s">
        <v>174</v>
      </c>
      <c r="F14" s="11" t="s">
        <v>175</v>
      </c>
      <c r="G14" s="11" t="s">
        <v>180</v>
      </c>
      <c r="H14" s="32" t="s">
        <v>124</v>
      </c>
      <c r="I14" s="32" t="s">
        <v>368</v>
      </c>
      <c r="J14" s="39" t="s">
        <v>216</v>
      </c>
      <c r="K14" s="11" t="s">
        <v>208</v>
      </c>
      <c r="L14" s="11" t="s">
        <v>292</v>
      </c>
      <c r="M14" s="12">
        <v>19575</v>
      </c>
      <c r="N14" s="11" t="s">
        <v>72</v>
      </c>
      <c r="O14" s="135">
        <v>45641</v>
      </c>
      <c r="P14" s="135">
        <v>45661</v>
      </c>
      <c r="Q14" s="11" t="s">
        <v>73</v>
      </c>
      <c r="R14" s="135">
        <v>45670</v>
      </c>
      <c r="S14" s="173"/>
      <c r="T14" s="15" t="s">
        <v>146</v>
      </c>
      <c r="U14" s="38" t="s">
        <v>341</v>
      </c>
      <c r="V14" s="152">
        <v>2200</v>
      </c>
      <c r="W14" s="17">
        <f>3862.4+2200</f>
        <v>6062.4</v>
      </c>
      <c r="X14" s="34">
        <f t="shared" si="5"/>
        <v>8262.4</v>
      </c>
      <c r="Y14" s="51">
        <v>3921</v>
      </c>
      <c r="Z14" s="51">
        <v>5000585</v>
      </c>
      <c r="AA14" s="33" t="s">
        <v>156</v>
      </c>
      <c r="AB14" s="258">
        <v>45664</v>
      </c>
      <c r="AC14" s="23">
        <v>429838</v>
      </c>
      <c r="AD14" s="24" t="s">
        <v>90</v>
      </c>
      <c r="AE14" s="273">
        <v>74683</v>
      </c>
      <c r="AF14" s="47">
        <v>91707.87</v>
      </c>
      <c r="AG14" s="22" t="s">
        <v>128</v>
      </c>
      <c r="AH14" s="273" t="s">
        <v>156</v>
      </c>
      <c r="AI14" s="28">
        <v>55500</v>
      </c>
      <c r="AJ14" s="27" t="s">
        <v>118</v>
      </c>
      <c r="AK14" s="279">
        <v>10731</v>
      </c>
      <c r="AL14" s="31">
        <v>8810</v>
      </c>
      <c r="AM14" s="279" t="s">
        <v>156</v>
      </c>
      <c r="AN14" s="29">
        <v>0</v>
      </c>
      <c r="AO14" s="266" t="s">
        <v>103</v>
      </c>
      <c r="AP14" s="18" t="s">
        <v>156</v>
      </c>
      <c r="AQ14" s="18" t="s">
        <v>156</v>
      </c>
      <c r="AR14" s="30">
        <v>0</v>
      </c>
      <c r="AS14" s="26"/>
      <c r="AT14" s="19"/>
      <c r="AU14" s="14"/>
      <c r="AV14" s="40" t="s">
        <v>526</v>
      </c>
      <c r="AW14" s="14" t="str">
        <f t="shared" si="0"/>
        <v>PANZERI#06   V6/1519  5000585 4700062922 &amp; 4700064452</v>
      </c>
      <c r="AX14" s="14"/>
      <c r="AY14" s="14">
        <v>20001199</v>
      </c>
      <c r="AZ14" s="14"/>
      <c r="BA14" s="14">
        <v>20001200</v>
      </c>
      <c r="BB14" s="21" t="str">
        <f t="shared" si="6"/>
        <v>4700062922 &amp; 4700064452</v>
      </c>
      <c r="BD14" s="90">
        <f t="shared" si="2"/>
        <v>411075</v>
      </c>
      <c r="BE14" s="90">
        <f t="shared" si="3"/>
        <v>65772</v>
      </c>
      <c r="BF14" s="90">
        <f>+BD14*0.0058</f>
        <v>2384.2349999999997</v>
      </c>
      <c r="BG14" s="89">
        <v>82352</v>
      </c>
    </row>
    <row r="15" spans="1:59" ht="14.45" customHeight="1" x14ac:dyDescent="0.25">
      <c r="A15" s="14" t="s">
        <v>543</v>
      </c>
      <c r="B15" s="232" t="s">
        <v>48</v>
      </c>
      <c r="C15" s="11" t="s">
        <v>65</v>
      </c>
      <c r="D15" s="11" t="s">
        <v>61</v>
      </c>
      <c r="E15" s="11" t="s">
        <v>193</v>
      </c>
      <c r="F15" s="11">
        <v>4700061622</v>
      </c>
      <c r="G15" s="11" t="s">
        <v>120</v>
      </c>
      <c r="H15" s="32" t="s">
        <v>121</v>
      </c>
      <c r="I15" s="32" t="s">
        <v>365</v>
      </c>
      <c r="J15" s="39" t="s">
        <v>257</v>
      </c>
      <c r="K15" s="11">
        <v>43742</v>
      </c>
      <c r="L15" s="11" t="s">
        <v>291</v>
      </c>
      <c r="M15" s="12">
        <v>22629.42</v>
      </c>
      <c r="N15" s="11" t="s">
        <v>71</v>
      </c>
      <c r="O15" s="135">
        <v>45626</v>
      </c>
      <c r="P15" s="135">
        <v>45658</v>
      </c>
      <c r="Q15" s="11" t="s">
        <v>73</v>
      </c>
      <c r="R15" s="135">
        <v>45666</v>
      </c>
      <c r="S15" s="173"/>
      <c r="T15" s="15" t="s">
        <v>34</v>
      </c>
      <c r="U15" s="38" t="s">
        <v>156</v>
      </c>
      <c r="V15" s="16">
        <v>0</v>
      </c>
      <c r="W15" s="17">
        <v>0</v>
      </c>
      <c r="X15" s="34">
        <f t="shared" si="5"/>
        <v>0</v>
      </c>
      <c r="Y15" s="51">
        <v>3921</v>
      </c>
      <c r="Z15" s="51">
        <v>5000586</v>
      </c>
      <c r="AA15" s="33" t="s">
        <v>156</v>
      </c>
      <c r="AB15" s="258">
        <v>45663</v>
      </c>
      <c r="AC15" s="23">
        <v>362590</v>
      </c>
      <c r="AD15" s="24" t="s">
        <v>90</v>
      </c>
      <c r="AE15" s="273">
        <v>74684</v>
      </c>
      <c r="AF15" s="47">
        <v>63317.06</v>
      </c>
      <c r="AG15" s="22" t="s">
        <v>128</v>
      </c>
      <c r="AH15" s="273" t="s">
        <v>156</v>
      </c>
      <c r="AI15" s="28">
        <v>32750</v>
      </c>
      <c r="AJ15" s="27" t="s">
        <v>118</v>
      </c>
      <c r="AK15" s="279">
        <v>10719</v>
      </c>
      <c r="AL15" s="31">
        <v>4405</v>
      </c>
      <c r="AM15" s="279" t="s">
        <v>156</v>
      </c>
      <c r="AN15" s="29">
        <v>0</v>
      </c>
      <c r="AO15" s="266">
        <v>2</v>
      </c>
      <c r="AP15" s="18" t="s">
        <v>537</v>
      </c>
      <c r="AQ15" s="18">
        <v>7523575684</v>
      </c>
      <c r="AR15" s="30">
        <v>320</v>
      </c>
      <c r="AS15" s="26"/>
      <c r="AT15" s="19"/>
      <c r="AU15" s="14"/>
      <c r="AV15" s="40">
        <v>45706</v>
      </c>
      <c r="AW15" s="14" t="str">
        <f t="shared" si="0"/>
        <v>SAVIRAM#17 43742  5000586 4700061622</v>
      </c>
      <c r="AX15" s="14"/>
      <c r="AY15" s="14"/>
      <c r="AZ15" s="14"/>
      <c r="BA15" s="14"/>
      <c r="BB15" s="21">
        <f t="shared" si="6"/>
        <v>4700061622</v>
      </c>
      <c r="BD15" s="90">
        <f t="shared" si="2"/>
        <v>475217.81999999995</v>
      </c>
      <c r="BE15" s="90">
        <f t="shared" si="3"/>
        <v>76034.85119999999</v>
      </c>
      <c r="BF15" s="90">
        <f>+BD15*0.158</f>
        <v>75084.415559999994</v>
      </c>
      <c r="BG15" s="89">
        <v>159666</v>
      </c>
    </row>
    <row r="16" spans="1:59" ht="14.45" customHeight="1" x14ac:dyDescent="0.25">
      <c r="A16" s="14" t="s">
        <v>544</v>
      </c>
      <c r="B16" s="232" t="s">
        <v>48</v>
      </c>
      <c r="C16" s="11" t="s">
        <v>65</v>
      </c>
      <c r="D16" s="11" t="s">
        <v>60</v>
      </c>
      <c r="E16" s="11" t="s">
        <v>172</v>
      </c>
      <c r="F16" s="11">
        <v>4700063240</v>
      </c>
      <c r="G16" s="11" t="s">
        <v>173</v>
      </c>
      <c r="H16" s="32" t="s">
        <v>124</v>
      </c>
      <c r="I16" s="32" t="s">
        <v>365</v>
      </c>
      <c r="J16" s="39" t="s">
        <v>215</v>
      </c>
      <c r="K16" s="11">
        <v>5388</v>
      </c>
      <c r="L16" s="11" t="s">
        <v>292</v>
      </c>
      <c r="M16" s="12">
        <v>16320</v>
      </c>
      <c r="N16" s="39" t="s">
        <v>72</v>
      </c>
      <c r="O16" s="135">
        <v>45633</v>
      </c>
      <c r="P16" s="135">
        <v>45654</v>
      </c>
      <c r="Q16" s="11" t="s">
        <v>73</v>
      </c>
      <c r="R16" s="135">
        <v>45666</v>
      </c>
      <c r="S16" s="173"/>
      <c r="T16" s="15" t="s">
        <v>144</v>
      </c>
      <c r="U16" s="38" t="s">
        <v>313</v>
      </c>
      <c r="V16" s="152">
        <v>2775</v>
      </c>
      <c r="W16" s="17">
        <f>1270+120</f>
        <v>1390</v>
      </c>
      <c r="X16" s="34">
        <f t="shared" si="5"/>
        <v>4165</v>
      </c>
      <c r="Y16" s="51">
        <v>3921</v>
      </c>
      <c r="Z16" s="51">
        <v>5000587</v>
      </c>
      <c r="AA16" s="33" t="s">
        <v>156</v>
      </c>
      <c r="AB16" s="258">
        <v>45660</v>
      </c>
      <c r="AC16" s="23">
        <v>347666</v>
      </c>
      <c r="AD16" s="24" t="s">
        <v>90</v>
      </c>
      <c r="AE16" s="273">
        <v>74677</v>
      </c>
      <c r="AF16" s="47">
        <v>68613.649999999994</v>
      </c>
      <c r="AG16" s="22" t="s">
        <v>128</v>
      </c>
      <c r="AH16" s="273" t="s">
        <v>156</v>
      </c>
      <c r="AI16" s="28">
        <v>32750</v>
      </c>
      <c r="AJ16" s="27" t="s">
        <v>118</v>
      </c>
      <c r="AK16" s="279">
        <v>10719</v>
      </c>
      <c r="AL16" s="31">
        <v>4405</v>
      </c>
      <c r="AM16" s="279" t="s">
        <v>156</v>
      </c>
      <c r="AN16" s="29">
        <v>0</v>
      </c>
      <c r="AO16" s="266" t="s">
        <v>103</v>
      </c>
      <c r="AP16" s="18" t="s">
        <v>156</v>
      </c>
      <c r="AQ16" s="18" t="s">
        <v>156</v>
      </c>
      <c r="AR16" s="30">
        <v>0</v>
      </c>
      <c r="AS16" s="26"/>
      <c r="AT16" s="19"/>
      <c r="AU16" s="14"/>
      <c r="AV16" s="40" t="s">
        <v>538</v>
      </c>
      <c r="AW16" s="14" t="str">
        <f t="shared" si="0"/>
        <v>LEHEVOSS#03  5388  5000587 4700063240</v>
      </c>
      <c r="AX16" s="14"/>
      <c r="AY16" s="14">
        <v>20001094</v>
      </c>
      <c r="AZ16" s="14"/>
      <c r="BA16" s="14"/>
      <c r="BB16" s="21">
        <f t="shared" si="6"/>
        <v>4700063240</v>
      </c>
      <c r="BD16" s="90">
        <f t="shared" si="2"/>
        <v>342720</v>
      </c>
      <c r="BE16" s="90">
        <f t="shared" si="3"/>
        <v>54835.200000000004</v>
      </c>
      <c r="BF16" s="90">
        <f>+BD16*0.0058</f>
        <v>1987.7759999999998</v>
      </c>
      <c r="BG16" s="89">
        <v>147684</v>
      </c>
    </row>
    <row r="17" spans="1:59" ht="14.45" customHeight="1" x14ac:dyDescent="0.25">
      <c r="A17" s="14" t="s">
        <v>535</v>
      </c>
      <c r="B17" s="232" t="s">
        <v>48</v>
      </c>
      <c r="C17" s="11" t="s">
        <v>65</v>
      </c>
      <c r="D17" s="11" t="s">
        <v>61</v>
      </c>
      <c r="E17" s="11" t="s">
        <v>197</v>
      </c>
      <c r="F17" s="11" t="s">
        <v>198</v>
      </c>
      <c r="G17" s="11" t="s">
        <v>120</v>
      </c>
      <c r="H17" s="32" t="s">
        <v>121</v>
      </c>
      <c r="I17" s="32" t="s">
        <v>365</v>
      </c>
      <c r="J17" s="39" t="s">
        <v>210</v>
      </c>
      <c r="K17" s="11">
        <v>43764</v>
      </c>
      <c r="L17" s="11" t="s">
        <v>291</v>
      </c>
      <c r="M17" s="12">
        <v>22323.21</v>
      </c>
      <c r="N17" s="11" t="s">
        <v>71</v>
      </c>
      <c r="O17" s="135">
        <v>45637</v>
      </c>
      <c r="P17" s="135">
        <v>45652</v>
      </c>
      <c r="Q17" s="11" t="s">
        <v>73</v>
      </c>
      <c r="R17" s="135">
        <v>45667</v>
      </c>
      <c r="S17" s="173"/>
      <c r="T17" s="15" t="s">
        <v>34</v>
      </c>
      <c r="U17" s="38" t="s">
        <v>156</v>
      </c>
      <c r="V17" s="16">
        <v>0</v>
      </c>
      <c r="W17" s="17">
        <v>0</v>
      </c>
      <c r="X17" s="34">
        <f t="shared" si="5"/>
        <v>0</v>
      </c>
      <c r="Y17" s="51">
        <v>3921</v>
      </c>
      <c r="Z17" s="51">
        <v>5000588</v>
      </c>
      <c r="AA17" s="33" t="s">
        <v>156</v>
      </c>
      <c r="AB17" s="258">
        <v>45663</v>
      </c>
      <c r="AC17" s="23">
        <v>356308</v>
      </c>
      <c r="AD17" s="24" t="s">
        <v>90</v>
      </c>
      <c r="AE17" s="273">
        <v>74678</v>
      </c>
      <c r="AF17" s="47">
        <v>66765.06</v>
      </c>
      <c r="AG17" s="22" t="s">
        <v>128</v>
      </c>
      <c r="AH17" s="273" t="s">
        <v>156</v>
      </c>
      <c r="AI17" s="28">
        <v>32750</v>
      </c>
      <c r="AJ17" s="27" t="s">
        <v>118</v>
      </c>
      <c r="AK17" s="279">
        <v>10725</v>
      </c>
      <c r="AL17" s="31">
        <v>4405</v>
      </c>
      <c r="AM17" s="279" t="s">
        <v>156</v>
      </c>
      <c r="AN17" s="29">
        <v>0</v>
      </c>
      <c r="AO17" s="266">
        <v>3</v>
      </c>
      <c r="AP17" s="18" t="s">
        <v>537</v>
      </c>
      <c r="AQ17" s="18">
        <v>7523576151</v>
      </c>
      <c r="AR17" s="30">
        <v>480</v>
      </c>
      <c r="AS17" s="26"/>
      <c r="AT17" s="19"/>
      <c r="AU17" s="14"/>
      <c r="AV17" s="40" t="s">
        <v>526</v>
      </c>
      <c r="AW17" s="14" t="str">
        <f t="shared" si="0"/>
        <v>SAVIRAM#19 43764  5000588 4700062433, 4700061618, 4700062436, 4700061622</v>
      </c>
      <c r="AX17" s="14"/>
      <c r="AY17" s="14"/>
      <c r="AZ17" s="14"/>
      <c r="BA17" s="14">
        <v>20001096</v>
      </c>
      <c r="BB17" s="21" t="str">
        <f t="shared" si="6"/>
        <v>4700062433, 4700061618, 4700062436, 4700061622</v>
      </c>
      <c r="BD17" s="90">
        <f t="shared" si="2"/>
        <v>468787.41</v>
      </c>
      <c r="BE17" s="90">
        <f t="shared" si="3"/>
        <v>75005.9856</v>
      </c>
      <c r="BF17" s="90">
        <f>+BD17*0.158</f>
        <v>74068.410779999991</v>
      </c>
      <c r="BG17" s="89">
        <v>157509</v>
      </c>
    </row>
    <row r="18" spans="1:59" ht="14.45" customHeight="1" x14ac:dyDescent="0.25">
      <c r="A18" s="14" t="s">
        <v>536</v>
      </c>
      <c r="B18" s="232" t="s">
        <v>48</v>
      </c>
      <c r="C18" s="11" t="s">
        <v>65</v>
      </c>
      <c r="D18" s="11" t="s">
        <v>61</v>
      </c>
      <c r="E18" s="11" t="s">
        <v>194</v>
      </c>
      <c r="F18" s="11">
        <v>4700063014</v>
      </c>
      <c r="G18" s="11" t="s">
        <v>120</v>
      </c>
      <c r="H18" s="32" t="s">
        <v>121</v>
      </c>
      <c r="I18" s="32" t="s">
        <v>365</v>
      </c>
      <c r="J18" s="39" t="s">
        <v>204</v>
      </c>
      <c r="K18" s="11">
        <v>43758</v>
      </c>
      <c r="L18" s="11" t="s">
        <v>291</v>
      </c>
      <c r="M18" s="12">
        <v>26610.15</v>
      </c>
      <c r="N18" s="11" t="s">
        <v>71</v>
      </c>
      <c r="O18" s="135">
        <v>45636</v>
      </c>
      <c r="P18" s="135">
        <v>45652</v>
      </c>
      <c r="Q18" s="11" t="s">
        <v>73</v>
      </c>
      <c r="R18" s="135">
        <v>45667</v>
      </c>
      <c r="S18" s="178"/>
      <c r="T18" s="15" t="s">
        <v>34</v>
      </c>
      <c r="U18" s="38" t="s">
        <v>156</v>
      </c>
      <c r="V18" s="16">
        <v>0</v>
      </c>
      <c r="W18" s="17">
        <v>0</v>
      </c>
      <c r="X18" s="34">
        <f t="shared" si="5"/>
        <v>0</v>
      </c>
      <c r="Y18" s="51">
        <v>3921</v>
      </c>
      <c r="Z18" s="51">
        <v>5000590</v>
      </c>
      <c r="AA18" s="33" t="s">
        <v>156</v>
      </c>
      <c r="AB18" s="258">
        <v>45663</v>
      </c>
      <c r="AC18" s="23">
        <v>444236</v>
      </c>
      <c r="AD18" s="175" t="s">
        <v>90</v>
      </c>
      <c r="AE18" s="273">
        <v>74676</v>
      </c>
      <c r="AF18" s="47">
        <v>66777.070000000007</v>
      </c>
      <c r="AG18" s="22" t="s">
        <v>128</v>
      </c>
      <c r="AH18" s="273" t="s">
        <v>156</v>
      </c>
      <c r="AI18" s="28">
        <v>32750</v>
      </c>
      <c r="AJ18" s="27" t="s">
        <v>118</v>
      </c>
      <c r="AK18" s="279">
        <v>10725</v>
      </c>
      <c r="AL18" s="31">
        <v>4405</v>
      </c>
      <c r="AM18" s="279" t="s">
        <v>156</v>
      </c>
      <c r="AN18" s="29">
        <v>0</v>
      </c>
      <c r="AO18" s="266">
        <v>3</v>
      </c>
      <c r="AP18" s="18" t="s">
        <v>537</v>
      </c>
      <c r="AQ18" s="18">
        <v>7523576065</v>
      </c>
      <c r="AR18" s="30">
        <v>480</v>
      </c>
      <c r="AS18" s="26"/>
      <c r="AT18" s="19"/>
      <c r="AU18" s="14"/>
      <c r="AV18" s="40" t="s">
        <v>539</v>
      </c>
      <c r="AW18" s="14" t="str">
        <f t="shared" si="0"/>
        <v>SAVIRAM#18 43758  5000590 4700063014</v>
      </c>
      <c r="AX18" s="14"/>
      <c r="AY18" s="14"/>
      <c r="AZ18" s="14"/>
      <c r="BA18" s="14"/>
      <c r="BB18" s="21">
        <f t="shared" si="6"/>
        <v>4700063014</v>
      </c>
      <c r="BD18" s="90">
        <f t="shared" si="2"/>
        <v>558813.15</v>
      </c>
      <c r="BE18" s="90">
        <f t="shared" si="3"/>
        <v>89410.104000000007</v>
      </c>
      <c r="BF18" s="90">
        <f>+BD18*0.158</f>
        <v>88292.477700000003</v>
      </c>
      <c r="BG18" s="89">
        <v>187691</v>
      </c>
    </row>
    <row r="19" spans="1:59" ht="14.45" customHeight="1" x14ac:dyDescent="0.25">
      <c r="A19" s="14"/>
      <c r="B19" s="232" t="s">
        <v>48</v>
      </c>
      <c r="C19" s="11" t="s">
        <v>65</v>
      </c>
      <c r="D19" s="11" t="s">
        <v>97</v>
      </c>
      <c r="E19" s="11" t="s">
        <v>186</v>
      </c>
      <c r="F19" s="11" t="s">
        <v>157</v>
      </c>
      <c r="G19" s="11" t="s">
        <v>116</v>
      </c>
      <c r="H19" s="32" t="s">
        <v>121</v>
      </c>
      <c r="I19" s="32" t="s">
        <v>365</v>
      </c>
      <c r="J19" s="39" t="s">
        <v>201</v>
      </c>
      <c r="K19" s="11">
        <v>10042454</v>
      </c>
      <c r="L19" s="11" t="s">
        <v>291</v>
      </c>
      <c r="M19" s="12">
        <v>79448.600000000006</v>
      </c>
      <c r="N19" s="11" t="s">
        <v>71</v>
      </c>
      <c r="O19" s="135">
        <v>45633</v>
      </c>
      <c r="P19" s="135">
        <v>45654</v>
      </c>
      <c r="Q19" s="11" t="s">
        <v>73</v>
      </c>
      <c r="R19" s="135">
        <v>45673</v>
      </c>
      <c r="S19" s="21"/>
      <c r="T19" s="15" t="s">
        <v>34</v>
      </c>
      <c r="U19" s="38" t="s">
        <v>156</v>
      </c>
      <c r="V19" s="16">
        <v>0</v>
      </c>
      <c r="W19" s="17">
        <v>0</v>
      </c>
      <c r="X19" s="34">
        <f t="shared" si="5"/>
        <v>0</v>
      </c>
      <c r="Y19" s="51">
        <v>3921</v>
      </c>
      <c r="Z19" s="51">
        <v>5000591</v>
      </c>
      <c r="AA19" s="33" t="s">
        <v>156</v>
      </c>
      <c r="AB19" s="258">
        <v>45671</v>
      </c>
      <c r="AC19" s="23">
        <v>1475873</v>
      </c>
      <c r="AD19" s="24" t="s">
        <v>90</v>
      </c>
      <c r="AE19" s="273">
        <v>74826</v>
      </c>
      <c r="AF19" s="47">
        <v>164119.67999999999</v>
      </c>
      <c r="AG19" s="22" t="s">
        <v>128</v>
      </c>
      <c r="AH19" s="273" t="s">
        <v>156</v>
      </c>
      <c r="AI19" s="28">
        <v>42500</v>
      </c>
      <c r="AJ19" s="27" t="s">
        <v>118</v>
      </c>
      <c r="AK19" s="279">
        <v>10737</v>
      </c>
      <c r="AL19" s="31">
        <v>8810</v>
      </c>
      <c r="AM19" s="42" t="s">
        <v>316</v>
      </c>
      <c r="AN19" s="29">
        <v>21769.07</v>
      </c>
      <c r="AO19" s="266" t="s">
        <v>103</v>
      </c>
      <c r="AP19" s="18" t="s">
        <v>156</v>
      </c>
      <c r="AQ19" s="18" t="s">
        <v>156</v>
      </c>
      <c r="AR19" s="30">
        <v>0</v>
      </c>
      <c r="AS19" s="26"/>
      <c r="AT19" s="19"/>
      <c r="AU19" s="14"/>
      <c r="AV19" s="40" t="s">
        <v>538</v>
      </c>
      <c r="AW19" s="14" t="str">
        <f t="shared" si="0"/>
        <v>B&amp;BPF#26 10042454  5000591 N/D</v>
      </c>
      <c r="AX19" s="14"/>
      <c r="AY19" s="14"/>
      <c r="AZ19" s="14"/>
      <c r="BA19" s="14">
        <v>20001100</v>
      </c>
      <c r="BB19" s="21" t="str">
        <f t="shared" si="6"/>
        <v>N/D</v>
      </c>
      <c r="BD19" s="90">
        <f t="shared" si="2"/>
        <v>1668420.6</v>
      </c>
      <c r="BE19" s="90">
        <f t="shared" si="3"/>
        <v>266947.29600000003</v>
      </c>
      <c r="BF19" s="90">
        <f>+BD19*0.008</f>
        <v>13347.364800000001</v>
      </c>
      <c r="BG19" s="89">
        <f>+BF19+BE19</f>
        <v>280294.66080000001</v>
      </c>
    </row>
    <row r="20" spans="1:59" ht="14.45" customHeight="1" x14ac:dyDescent="0.25">
      <c r="A20" s="14"/>
      <c r="B20" s="232" t="s">
        <v>48</v>
      </c>
      <c r="C20" s="11" t="s">
        <v>66</v>
      </c>
      <c r="D20" s="11" t="s">
        <v>60</v>
      </c>
      <c r="E20" s="11" t="s">
        <v>182</v>
      </c>
      <c r="F20" s="44" t="s">
        <v>178</v>
      </c>
      <c r="G20" s="44" t="s">
        <v>114</v>
      </c>
      <c r="H20" s="86" t="s">
        <v>140</v>
      </c>
      <c r="I20" s="32" t="s">
        <v>365</v>
      </c>
      <c r="J20" s="52" t="s">
        <v>241</v>
      </c>
      <c r="K20" s="44" t="s">
        <v>394</v>
      </c>
      <c r="L20" s="44" t="s">
        <v>288</v>
      </c>
      <c r="M20" s="87">
        <f>5575+1375</f>
        <v>6950</v>
      </c>
      <c r="N20" s="44" t="s">
        <v>71</v>
      </c>
      <c r="O20" s="133">
        <v>45636</v>
      </c>
      <c r="P20" s="133">
        <v>45663</v>
      </c>
      <c r="Q20" s="11" t="s">
        <v>73</v>
      </c>
      <c r="R20" s="133">
        <v>45673</v>
      </c>
      <c r="S20" s="21"/>
      <c r="T20" s="15" t="s">
        <v>248</v>
      </c>
      <c r="U20" s="38" t="s">
        <v>356</v>
      </c>
      <c r="V20" s="16">
        <v>230</v>
      </c>
      <c r="W20" s="17">
        <f>408.64-230</f>
        <v>178.64</v>
      </c>
      <c r="X20" s="34">
        <f t="shared" si="5"/>
        <v>408.64</v>
      </c>
      <c r="Y20" s="51">
        <v>3931</v>
      </c>
      <c r="Z20" s="51">
        <v>5000595</v>
      </c>
      <c r="AA20" s="33" t="s">
        <v>156</v>
      </c>
      <c r="AB20" s="258">
        <v>45668</v>
      </c>
      <c r="AC20" s="23">
        <v>143807</v>
      </c>
      <c r="AD20" s="24" t="s">
        <v>90</v>
      </c>
      <c r="AE20" s="273" t="s">
        <v>98</v>
      </c>
      <c r="AF20" s="25">
        <v>0</v>
      </c>
      <c r="AG20" s="22" t="s">
        <v>248</v>
      </c>
      <c r="AH20" s="273" t="s">
        <v>383</v>
      </c>
      <c r="AI20" s="28">
        <v>8863</v>
      </c>
      <c r="AJ20" s="26" t="s">
        <v>103</v>
      </c>
      <c r="AK20" s="279" t="s">
        <v>156</v>
      </c>
      <c r="AL20" s="31">
        <v>0</v>
      </c>
      <c r="AM20" s="279" t="s">
        <v>156</v>
      </c>
      <c r="AN20" s="29">
        <v>0</v>
      </c>
      <c r="AO20" s="266" t="s">
        <v>103</v>
      </c>
      <c r="AP20" s="18" t="s">
        <v>156</v>
      </c>
      <c r="AQ20" s="18" t="s">
        <v>156</v>
      </c>
      <c r="AR20" s="30">
        <v>0</v>
      </c>
      <c r="AS20" s="26"/>
      <c r="AT20" s="19"/>
      <c r="AU20" s="14"/>
      <c r="AV20" s="40"/>
      <c r="AW20" s="14" t="str">
        <f t="shared" si="0"/>
        <v>ARTEC#09 SEA 2024DOB015-16  5000595 4700063256,4700064911, PO4700064912</v>
      </c>
      <c r="AX20" s="14"/>
      <c r="AY20" s="14"/>
      <c r="AZ20" s="14"/>
      <c r="BA20" s="14"/>
      <c r="BB20" s="21" t="str">
        <f t="shared" si="6"/>
        <v>4700063256,4700064911, PO4700064912</v>
      </c>
      <c r="BD20" s="90">
        <f t="shared" si="2"/>
        <v>145950</v>
      </c>
      <c r="BE20" s="90">
        <f t="shared" si="3"/>
        <v>23352</v>
      </c>
      <c r="BF20" s="90">
        <f>+BD20*0.0058</f>
        <v>846.51</v>
      </c>
      <c r="BG20" s="89">
        <f>+BF20+BE20</f>
        <v>24198.51</v>
      </c>
    </row>
    <row r="21" spans="1:59" ht="14.45" customHeight="1" x14ac:dyDescent="0.25">
      <c r="A21" s="14"/>
      <c r="B21" s="232" t="s">
        <v>48</v>
      </c>
      <c r="C21" s="11" t="s">
        <v>66</v>
      </c>
      <c r="D21" s="11" t="s">
        <v>60</v>
      </c>
      <c r="E21" s="11" t="s">
        <v>268</v>
      </c>
      <c r="F21" s="11" t="s">
        <v>188</v>
      </c>
      <c r="G21" s="14" t="s">
        <v>114</v>
      </c>
      <c r="H21" s="32" t="s">
        <v>190</v>
      </c>
      <c r="I21" s="32" t="s">
        <v>369</v>
      </c>
      <c r="J21" s="39" t="s">
        <v>242</v>
      </c>
      <c r="K21" s="11" t="s">
        <v>189</v>
      </c>
      <c r="L21" s="11" t="s">
        <v>291</v>
      </c>
      <c r="M21" s="12">
        <v>81620</v>
      </c>
      <c r="N21" s="11" t="s">
        <v>71</v>
      </c>
      <c r="O21" s="135">
        <v>45633</v>
      </c>
      <c r="P21" s="135">
        <v>45667</v>
      </c>
      <c r="Q21" s="11" t="s">
        <v>73</v>
      </c>
      <c r="R21" s="135">
        <v>45680</v>
      </c>
      <c r="S21" s="21"/>
      <c r="T21" s="42" t="s">
        <v>34</v>
      </c>
      <c r="U21" s="38" t="s">
        <v>156</v>
      </c>
      <c r="V21" s="16">
        <v>0</v>
      </c>
      <c r="W21" s="17">
        <v>0</v>
      </c>
      <c r="X21" s="34">
        <f t="shared" si="5"/>
        <v>0</v>
      </c>
      <c r="Y21" s="51">
        <v>3931</v>
      </c>
      <c r="Z21" s="51">
        <v>5000603</v>
      </c>
      <c r="AA21" s="33" t="s">
        <v>156</v>
      </c>
      <c r="AB21" s="258">
        <v>45674</v>
      </c>
      <c r="AC21" s="23">
        <v>1663601</v>
      </c>
      <c r="AD21" s="24" t="s">
        <v>90</v>
      </c>
      <c r="AE21" s="273" t="s">
        <v>98</v>
      </c>
      <c r="AF21" s="25">
        <v>0</v>
      </c>
      <c r="AG21" s="22" t="s">
        <v>144</v>
      </c>
      <c r="AH21" s="273" t="s">
        <v>342</v>
      </c>
      <c r="AI21" s="28">
        <v>56500</v>
      </c>
      <c r="AJ21" s="27" t="s">
        <v>118</v>
      </c>
      <c r="AK21" s="280">
        <v>10750</v>
      </c>
      <c r="AL21" s="31">
        <v>18550</v>
      </c>
      <c r="AM21" s="279" t="s">
        <v>156</v>
      </c>
      <c r="AN21" s="29">
        <v>0</v>
      </c>
      <c r="AO21" s="266" t="s">
        <v>103</v>
      </c>
      <c r="AP21" s="18" t="s">
        <v>156</v>
      </c>
      <c r="AQ21" s="18" t="s">
        <v>156</v>
      </c>
      <c r="AR21" s="30">
        <v>0</v>
      </c>
      <c r="AS21" s="26"/>
      <c r="AT21" s="19"/>
      <c r="AU21" s="14"/>
      <c r="AV21" s="40">
        <v>45685</v>
      </c>
      <c r="AW21" s="14" t="str">
        <f t="shared" si="0"/>
        <v>JIANGSU#09 XY-239369370 &amp; XY-239502503  5000603 4700064828, 4700065429 4700064829</v>
      </c>
      <c r="AX21" s="14"/>
      <c r="AY21" s="14"/>
      <c r="AZ21" s="14"/>
      <c r="BA21" s="14"/>
      <c r="BB21" s="21" t="str">
        <f t="shared" si="6"/>
        <v>4700064828, 4700065429 4700064829</v>
      </c>
      <c r="BD21" s="90">
        <f t="shared" si="2"/>
        <v>1714020</v>
      </c>
      <c r="BE21" s="90">
        <f t="shared" si="3"/>
        <v>274243.20000000001</v>
      </c>
      <c r="BF21" s="90">
        <f>+BD21*0.18</f>
        <v>308523.59999999998</v>
      </c>
      <c r="BG21" s="89">
        <f>+BF21+BE21</f>
        <v>582766.80000000005</v>
      </c>
    </row>
    <row r="22" spans="1:59" ht="14.45" customHeight="1" x14ac:dyDescent="0.25">
      <c r="A22" s="14"/>
      <c r="B22" s="232" t="s">
        <v>48</v>
      </c>
      <c r="C22" s="11" t="s">
        <v>66</v>
      </c>
      <c r="D22" s="11" t="s">
        <v>60</v>
      </c>
      <c r="E22" s="11" t="s">
        <v>202</v>
      </c>
      <c r="F22" s="11">
        <v>4700065713</v>
      </c>
      <c r="G22" s="14" t="s">
        <v>114</v>
      </c>
      <c r="H22" s="32" t="s">
        <v>123</v>
      </c>
      <c r="I22" s="32" t="s">
        <v>365</v>
      </c>
      <c r="J22" s="39" t="s">
        <v>272</v>
      </c>
      <c r="K22" s="11" t="s">
        <v>203</v>
      </c>
      <c r="L22" s="11" t="s">
        <v>291</v>
      </c>
      <c r="M22" s="12">
        <v>18506.25</v>
      </c>
      <c r="N22" s="11" t="s">
        <v>71</v>
      </c>
      <c r="O22" s="135">
        <v>45638</v>
      </c>
      <c r="P22" s="135">
        <v>45663</v>
      </c>
      <c r="Q22" s="11" t="s">
        <v>73</v>
      </c>
      <c r="R22" s="135">
        <v>45679</v>
      </c>
      <c r="S22" s="21"/>
      <c r="T22" s="42" t="s">
        <v>34</v>
      </c>
      <c r="U22" s="38" t="s">
        <v>156</v>
      </c>
      <c r="V22" s="16">
        <v>0</v>
      </c>
      <c r="W22" s="17">
        <v>0</v>
      </c>
      <c r="X22" s="34">
        <f t="shared" si="5"/>
        <v>0</v>
      </c>
      <c r="Y22" s="51">
        <v>3931</v>
      </c>
      <c r="Z22" s="51">
        <v>5000604</v>
      </c>
      <c r="AA22" s="33" t="s">
        <v>156</v>
      </c>
      <c r="AB22" s="258">
        <v>45673</v>
      </c>
      <c r="AC22" s="23">
        <v>374132</v>
      </c>
      <c r="AD22" s="24" t="s">
        <v>90</v>
      </c>
      <c r="AE22" s="273" t="s">
        <v>98</v>
      </c>
      <c r="AF22" s="25">
        <v>0</v>
      </c>
      <c r="AG22" s="22" t="s">
        <v>128</v>
      </c>
      <c r="AH22" s="273" t="s">
        <v>156</v>
      </c>
      <c r="AI22" s="28">
        <v>0</v>
      </c>
      <c r="AJ22" s="27" t="s">
        <v>118</v>
      </c>
      <c r="AK22" s="280">
        <v>10746</v>
      </c>
      <c r="AL22" s="31">
        <v>18550</v>
      </c>
      <c r="AM22" s="279" t="s">
        <v>156</v>
      </c>
      <c r="AN22" s="29">
        <v>0</v>
      </c>
      <c r="AO22" s="266" t="s">
        <v>103</v>
      </c>
      <c r="AP22" s="15" t="s">
        <v>355</v>
      </c>
      <c r="AQ22" s="20">
        <v>10746</v>
      </c>
      <c r="AR22" s="30">
        <v>9275</v>
      </c>
      <c r="AS22" s="26"/>
      <c r="AT22" s="19"/>
      <c r="AU22" s="14"/>
      <c r="AV22" s="40">
        <v>45685</v>
      </c>
      <c r="AW22" s="14" t="str">
        <f t="shared" si="0"/>
        <v>TELUCA#06  0000354T24  5000604 4700065713</v>
      </c>
      <c r="AX22" s="14"/>
      <c r="AY22" s="14"/>
      <c r="AZ22" s="14"/>
      <c r="BA22" s="14">
        <v>20001102</v>
      </c>
      <c r="BB22" s="21">
        <f t="shared" si="6"/>
        <v>4700065713</v>
      </c>
      <c r="BD22" s="90">
        <f t="shared" si="2"/>
        <v>388631.25</v>
      </c>
      <c r="BE22" s="90">
        <f t="shared" si="3"/>
        <v>62181</v>
      </c>
      <c r="BF22" s="90">
        <f>+BD22*0.008</f>
        <v>3109.05</v>
      </c>
      <c r="BG22" s="89">
        <f>+BF22+BE22</f>
        <v>65290.05</v>
      </c>
    </row>
    <row r="23" spans="1:59" ht="14.45" customHeight="1" x14ac:dyDescent="0.25">
      <c r="A23" s="46"/>
      <c r="B23" s="232" t="s">
        <v>48</v>
      </c>
      <c r="C23" s="11" t="s">
        <v>66</v>
      </c>
      <c r="D23" s="11" t="s">
        <v>61</v>
      </c>
      <c r="E23" s="11" t="s">
        <v>167</v>
      </c>
      <c r="F23" s="11">
        <v>4700063210</v>
      </c>
      <c r="G23" s="14" t="s">
        <v>138</v>
      </c>
      <c r="H23" s="32" t="s">
        <v>142</v>
      </c>
      <c r="I23" s="32" t="s">
        <v>365</v>
      </c>
      <c r="J23" s="39" t="s">
        <v>243</v>
      </c>
      <c r="K23" s="147" t="s">
        <v>220</v>
      </c>
      <c r="L23" s="39" t="s">
        <v>291</v>
      </c>
      <c r="M23" s="48">
        <v>29585.51</v>
      </c>
      <c r="N23" s="11" t="s">
        <v>71</v>
      </c>
      <c r="O23" s="134">
        <v>45654</v>
      </c>
      <c r="P23" s="135">
        <v>45670</v>
      </c>
      <c r="Q23" s="11" t="s">
        <v>73</v>
      </c>
      <c r="R23" s="135">
        <v>45674</v>
      </c>
      <c r="S23" s="21"/>
      <c r="T23" s="15" t="s">
        <v>34</v>
      </c>
      <c r="U23" s="38" t="s">
        <v>156</v>
      </c>
      <c r="V23" s="16">
        <v>0</v>
      </c>
      <c r="W23" s="17">
        <v>0</v>
      </c>
      <c r="X23" s="34">
        <f t="shared" si="5"/>
        <v>0</v>
      </c>
      <c r="Y23" s="51">
        <v>3931</v>
      </c>
      <c r="Z23" s="51">
        <v>5000605</v>
      </c>
      <c r="AA23" s="33" t="s">
        <v>156</v>
      </c>
      <c r="AB23" s="258">
        <v>45672</v>
      </c>
      <c r="AC23" s="23">
        <v>605740</v>
      </c>
      <c r="AD23" s="24" t="s">
        <v>90</v>
      </c>
      <c r="AE23" s="273" t="s">
        <v>98</v>
      </c>
      <c r="AF23" s="25">
        <v>0</v>
      </c>
      <c r="AG23" s="22" t="s">
        <v>128</v>
      </c>
      <c r="AH23" s="273" t="s">
        <v>156</v>
      </c>
      <c r="AI23" s="28">
        <v>0</v>
      </c>
      <c r="AJ23" s="27" t="s">
        <v>118</v>
      </c>
      <c r="AK23" s="280">
        <v>10742</v>
      </c>
      <c r="AL23" s="31">
        <v>18550</v>
      </c>
      <c r="AM23" s="279" t="s">
        <v>156</v>
      </c>
      <c r="AN23" s="29">
        <v>0</v>
      </c>
      <c r="AO23" s="266" t="s">
        <v>103</v>
      </c>
      <c r="AP23" s="15" t="s">
        <v>355</v>
      </c>
      <c r="AQ23" s="20">
        <v>10742</v>
      </c>
      <c r="AR23" s="30">
        <v>9275</v>
      </c>
      <c r="AS23" s="26"/>
      <c r="AT23" s="19"/>
      <c r="AU23" s="14"/>
      <c r="AV23" s="40">
        <v>45685</v>
      </c>
      <c r="AW23" s="14" t="str">
        <f t="shared" si="0"/>
        <v>ENVASES_LIMA#24-R F001-00004850  5000605 4700063210</v>
      </c>
      <c r="AX23" s="14"/>
      <c r="AY23" s="14"/>
      <c r="AZ23" s="14"/>
      <c r="BA23" s="14">
        <v>20001101</v>
      </c>
      <c r="BB23" s="21">
        <f t="shared" si="6"/>
        <v>4700063210</v>
      </c>
      <c r="BD23" s="90">
        <f t="shared" si="2"/>
        <v>621295.71</v>
      </c>
      <c r="BE23" s="90">
        <f t="shared" si="3"/>
        <v>99407.313599999994</v>
      </c>
      <c r="BF23" s="90">
        <f>+BD23*0.008</f>
        <v>4970.3656799999999</v>
      </c>
      <c r="BG23" s="89">
        <f>+BF23+BE23</f>
        <v>104377.67928</v>
      </c>
    </row>
    <row r="24" spans="1:59" ht="14.45" customHeight="1" x14ac:dyDescent="0.25">
      <c r="A24" s="14" t="s">
        <v>540</v>
      </c>
      <c r="B24" s="232" t="s">
        <v>48</v>
      </c>
      <c r="C24" s="11" t="s">
        <v>65</v>
      </c>
      <c r="D24" s="11" t="s">
        <v>60</v>
      </c>
      <c r="E24" s="11" t="s">
        <v>176</v>
      </c>
      <c r="F24" s="11">
        <v>4700063833</v>
      </c>
      <c r="G24" s="11" t="s">
        <v>179</v>
      </c>
      <c r="H24" s="32" t="s">
        <v>177</v>
      </c>
      <c r="I24" s="32" t="s">
        <v>365</v>
      </c>
      <c r="J24" s="39" t="s">
        <v>200</v>
      </c>
      <c r="K24" s="11">
        <v>2.0099999999999998</v>
      </c>
      <c r="L24" s="11" t="s">
        <v>292</v>
      </c>
      <c r="M24" s="12">
        <v>11897.2</v>
      </c>
      <c r="N24" s="11" t="s">
        <v>72</v>
      </c>
      <c r="O24" s="134">
        <v>45625</v>
      </c>
      <c r="P24" s="135">
        <v>45648</v>
      </c>
      <c r="Q24" s="11" t="s">
        <v>73</v>
      </c>
      <c r="R24" s="135">
        <v>45665</v>
      </c>
      <c r="S24" s="178"/>
      <c r="T24" s="15" t="s">
        <v>146</v>
      </c>
      <c r="U24" s="38" t="s">
        <v>314</v>
      </c>
      <c r="V24" s="152">
        <v>2500</v>
      </c>
      <c r="W24" s="17">
        <f>1050+105+35+22.4</f>
        <v>1212.4000000000001</v>
      </c>
      <c r="X24" s="34">
        <f t="shared" si="5"/>
        <v>3712.4</v>
      </c>
      <c r="Y24" s="51">
        <v>3921</v>
      </c>
      <c r="Z24" s="51">
        <v>5000611</v>
      </c>
      <c r="AA24" s="33" t="s">
        <v>156</v>
      </c>
      <c r="AB24" s="258">
        <v>45661</v>
      </c>
      <c r="AC24" s="23">
        <v>256896</v>
      </c>
      <c r="AD24" s="24" t="s">
        <v>90</v>
      </c>
      <c r="AE24" s="273">
        <v>74682</v>
      </c>
      <c r="AF24" s="47">
        <v>116548.26</v>
      </c>
      <c r="AG24" s="22" t="s">
        <v>128</v>
      </c>
      <c r="AH24" s="273" t="s">
        <v>156</v>
      </c>
      <c r="AI24" s="28">
        <v>44250</v>
      </c>
      <c r="AJ24" s="27" t="s">
        <v>118</v>
      </c>
      <c r="AK24" s="279">
        <v>10716</v>
      </c>
      <c r="AL24" s="31">
        <v>4405</v>
      </c>
      <c r="AM24" s="279" t="s">
        <v>156</v>
      </c>
      <c r="AN24" s="29">
        <v>0</v>
      </c>
      <c r="AO24" s="266" t="s">
        <v>103</v>
      </c>
      <c r="AP24" s="18" t="s">
        <v>156</v>
      </c>
      <c r="AQ24" s="18" t="s">
        <v>156</v>
      </c>
      <c r="AR24" s="30">
        <v>0</v>
      </c>
      <c r="AS24" s="26"/>
      <c r="AT24" s="19"/>
      <c r="AU24" s="14"/>
      <c r="AV24" s="40" t="s">
        <v>542</v>
      </c>
      <c r="AW24" s="14" t="str">
        <f t="shared" si="0"/>
        <v>ZSCHIMMER#01  2.01  5000611 4700063833</v>
      </c>
      <c r="AX24" s="14"/>
      <c r="AY24" s="14">
        <v>20001803</v>
      </c>
      <c r="AZ24" s="14"/>
      <c r="BA24" s="14"/>
      <c r="BB24" s="21">
        <f t="shared" si="6"/>
        <v>4700063833</v>
      </c>
      <c r="BD24" s="90">
        <f t="shared" si="2"/>
        <v>249841.2</v>
      </c>
      <c r="BE24" s="90">
        <f t="shared" si="3"/>
        <v>39974.592000000004</v>
      </c>
      <c r="BF24" s="90">
        <f>+BD24*0.0058</f>
        <v>1449.0789600000001</v>
      </c>
      <c r="BG24" s="89">
        <v>56107</v>
      </c>
    </row>
    <row r="25" spans="1:59" ht="14.45" customHeight="1" x14ac:dyDescent="0.25">
      <c r="A25" s="14" t="s">
        <v>541</v>
      </c>
      <c r="B25" s="232" t="s">
        <v>48</v>
      </c>
      <c r="C25" s="49" t="s">
        <v>65</v>
      </c>
      <c r="D25" s="11" t="s">
        <v>60</v>
      </c>
      <c r="E25" s="11" t="s">
        <v>181</v>
      </c>
      <c r="F25" s="49" t="s">
        <v>157</v>
      </c>
      <c r="G25" s="11" t="s">
        <v>116</v>
      </c>
      <c r="H25" s="32" t="s">
        <v>121</v>
      </c>
      <c r="I25" s="32" t="s">
        <v>371</v>
      </c>
      <c r="J25" s="39" t="s">
        <v>233</v>
      </c>
      <c r="K25" s="49" t="s">
        <v>221</v>
      </c>
      <c r="L25" s="49" t="s">
        <v>291</v>
      </c>
      <c r="M25" s="50">
        <f>24705.26+68694.67</f>
        <v>93399.93</v>
      </c>
      <c r="N25" s="11" t="s">
        <v>71</v>
      </c>
      <c r="O25" s="134">
        <v>45616</v>
      </c>
      <c r="P25" s="134">
        <v>45652</v>
      </c>
      <c r="Q25" s="11" t="s">
        <v>73</v>
      </c>
      <c r="R25" s="134">
        <v>45665</v>
      </c>
      <c r="S25" s="180"/>
      <c r="T25" s="15" t="s">
        <v>34</v>
      </c>
      <c r="U25" s="38" t="s">
        <v>156</v>
      </c>
      <c r="V25" s="16">
        <v>0</v>
      </c>
      <c r="W25" s="17">
        <v>0</v>
      </c>
      <c r="X25" s="34">
        <f t="shared" si="5"/>
        <v>0</v>
      </c>
      <c r="Y25" s="51">
        <v>3921</v>
      </c>
      <c r="Z25" s="51">
        <v>5000612</v>
      </c>
      <c r="AA25" s="33" t="s">
        <v>156</v>
      </c>
      <c r="AB25" s="258">
        <v>45663</v>
      </c>
      <c r="AC25" s="23">
        <v>1773073</v>
      </c>
      <c r="AD25" s="24" t="s">
        <v>90</v>
      </c>
      <c r="AE25" s="273" t="s">
        <v>98</v>
      </c>
      <c r="AF25" s="25">
        <v>0</v>
      </c>
      <c r="AG25" s="22" t="s">
        <v>128</v>
      </c>
      <c r="AH25" s="273" t="s">
        <v>156</v>
      </c>
      <c r="AI25" s="28">
        <v>0</v>
      </c>
      <c r="AJ25" s="27" t="s">
        <v>118</v>
      </c>
      <c r="AK25" s="279">
        <v>10716</v>
      </c>
      <c r="AL25" s="31">
        <v>4405</v>
      </c>
      <c r="AM25" s="279" t="s">
        <v>156</v>
      </c>
      <c r="AN25" s="29">
        <v>0</v>
      </c>
      <c r="AO25" s="266" t="s">
        <v>103</v>
      </c>
      <c r="AP25" s="18" t="s">
        <v>156</v>
      </c>
      <c r="AQ25" s="18" t="s">
        <v>156</v>
      </c>
      <c r="AR25" s="30">
        <v>0</v>
      </c>
      <c r="AS25" s="26"/>
      <c r="AT25" s="19"/>
      <c r="AU25" s="14"/>
      <c r="AV25" s="40">
        <v>45685</v>
      </c>
      <c r="AW25" s="14" t="str">
        <f t="shared" si="0"/>
        <v>B&amp;BMP#16  10041861, 10041862  5000612 N/D</v>
      </c>
      <c r="AX25" s="14"/>
      <c r="AY25" s="14"/>
      <c r="AZ25" s="14"/>
      <c r="BA25" s="14">
        <v>1095</v>
      </c>
      <c r="BB25" s="21" t="str">
        <f t="shared" si="6"/>
        <v>N/D</v>
      </c>
      <c r="BD25" s="90">
        <f t="shared" si="2"/>
        <v>1961398.5299999998</v>
      </c>
      <c r="BE25" s="90">
        <f t="shared" si="3"/>
        <v>313823.76479999995</v>
      </c>
      <c r="BF25" s="90">
        <f>+BD25*0.018</f>
        <v>35305.173539999996</v>
      </c>
      <c r="BG25" s="89">
        <v>339647</v>
      </c>
    </row>
    <row r="26" spans="1:59" ht="14.45" customHeight="1" x14ac:dyDescent="0.25">
      <c r="A26" s="14"/>
      <c r="B26" s="232" t="s">
        <v>48</v>
      </c>
      <c r="C26" s="49" t="s">
        <v>65</v>
      </c>
      <c r="D26" s="11" t="s">
        <v>97</v>
      </c>
      <c r="E26" s="11" t="s">
        <v>187</v>
      </c>
      <c r="F26" s="49" t="s">
        <v>157</v>
      </c>
      <c r="G26" s="11" t="s">
        <v>116</v>
      </c>
      <c r="H26" s="32" t="s">
        <v>121</v>
      </c>
      <c r="I26" s="32" t="s">
        <v>365</v>
      </c>
      <c r="J26" s="39" t="s">
        <v>232</v>
      </c>
      <c r="K26" s="49">
        <v>10042588</v>
      </c>
      <c r="L26" s="49" t="s">
        <v>291</v>
      </c>
      <c r="M26" s="50">
        <v>160869.13</v>
      </c>
      <c r="N26" s="11" t="s">
        <v>71</v>
      </c>
      <c r="O26" s="134">
        <v>45625</v>
      </c>
      <c r="P26" s="134">
        <v>45648</v>
      </c>
      <c r="Q26" s="11" t="s">
        <v>73</v>
      </c>
      <c r="R26" s="134">
        <v>45670</v>
      </c>
      <c r="S26" s="174"/>
      <c r="T26" s="15" t="s">
        <v>34</v>
      </c>
      <c r="U26" s="38" t="s">
        <v>156</v>
      </c>
      <c r="V26" s="16">
        <v>0</v>
      </c>
      <c r="W26" s="17">
        <v>0</v>
      </c>
      <c r="X26" s="34">
        <f t="shared" si="5"/>
        <v>0</v>
      </c>
      <c r="Y26" s="51">
        <v>3921</v>
      </c>
      <c r="Z26" s="51">
        <v>5000667</v>
      </c>
      <c r="AA26" s="33" t="s">
        <v>156</v>
      </c>
      <c r="AB26" s="258">
        <v>45668</v>
      </c>
      <c r="AC26" s="23">
        <v>3171318</v>
      </c>
      <c r="AD26" s="24" t="s">
        <v>90</v>
      </c>
      <c r="AE26" s="273">
        <v>74827</v>
      </c>
      <c r="AF26" s="47">
        <v>231629.24</v>
      </c>
      <c r="AG26" s="22" t="s">
        <v>128</v>
      </c>
      <c r="AH26" s="273" t="s">
        <v>156</v>
      </c>
      <c r="AI26" s="28">
        <v>42500</v>
      </c>
      <c r="AJ26" s="27" t="s">
        <v>118</v>
      </c>
      <c r="AK26" s="279">
        <v>10730</v>
      </c>
      <c r="AL26" s="31">
        <v>8810</v>
      </c>
      <c r="AM26" s="42" t="s">
        <v>315</v>
      </c>
      <c r="AN26" s="29">
        <v>112918.83</v>
      </c>
      <c r="AO26" s="266" t="s">
        <v>103</v>
      </c>
      <c r="AP26" s="18" t="s">
        <v>156</v>
      </c>
      <c r="AQ26" s="18" t="s">
        <v>156</v>
      </c>
      <c r="AR26" s="30">
        <v>0</v>
      </c>
      <c r="AS26" s="26"/>
      <c r="AT26" s="19"/>
      <c r="AU26" s="14"/>
      <c r="AV26" s="40" t="s">
        <v>354</v>
      </c>
      <c r="AW26" s="14" t="str">
        <f t="shared" si="0"/>
        <v>B&amp;BPF#27 10042588  5000667 N/D</v>
      </c>
      <c r="AX26" s="14"/>
      <c r="AY26" s="14"/>
      <c r="AZ26" s="14">
        <v>2000981</v>
      </c>
      <c r="BA26" s="14">
        <v>20001099</v>
      </c>
      <c r="BB26" s="21" t="str">
        <f t="shared" si="6"/>
        <v>N/D</v>
      </c>
      <c r="BD26" s="90">
        <f t="shared" si="2"/>
        <v>3378251.73</v>
      </c>
      <c r="BE26" s="90">
        <f t="shared" si="3"/>
        <v>540520.27679999999</v>
      </c>
      <c r="BF26" s="90">
        <f>+BD26*0.008</f>
        <v>27026.01384</v>
      </c>
      <c r="BG26" s="89">
        <f t="shared" ref="BG26:BG33" si="7">+BF26+BE26</f>
        <v>567546.29064000002</v>
      </c>
    </row>
    <row r="27" spans="1:59" ht="14.45" customHeight="1" x14ac:dyDescent="0.25">
      <c r="A27" s="14"/>
      <c r="B27" s="232" t="s">
        <v>48</v>
      </c>
      <c r="C27" s="49" t="s">
        <v>66</v>
      </c>
      <c r="D27" s="11" t="s">
        <v>60</v>
      </c>
      <c r="E27" s="11" t="s">
        <v>211</v>
      </c>
      <c r="F27" s="49" t="s">
        <v>212</v>
      </c>
      <c r="G27" s="14" t="s">
        <v>114</v>
      </c>
      <c r="H27" s="32" t="s">
        <v>169</v>
      </c>
      <c r="I27" s="32" t="s">
        <v>370</v>
      </c>
      <c r="J27" s="39" t="s">
        <v>271</v>
      </c>
      <c r="K27" s="49" t="s">
        <v>213</v>
      </c>
      <c r="L27" s="49" t="s">
        <v>291</v>
      </c>
      <c r="M27" s="50">
        <v>104062.5</v>
      </c>
      <c r="N27" s="11" t="s">
        <v>71</v>
      </c>
      <c r="O27" s="136">
        <v>45649</v>
      </c>
      <c r="P27" s="136">
        <v>45670</v>
      </c>
      <c r="Q27" s="11" t="s">
        <v>73</v>
      </c>
      <c r="R27" s="136">
        <v>45686</v>
      </c>
      <c r="S27" s="49"/>
      <c r="T27" s="42" t="s">
        <v>34</v>
      </c>
      <c r="U27" s="38" t="s">
        <v>156</v>
      </c>
      <c r="V27" s="16">
        <v>0</v>
      </c>
      <c r="W27" s="17">
        <v>0</v>
      </c>
      <c r="X27" s="34">
        <f t="shared" si="5"/>
        <v>0</v>
      </c>
      <c r="Y27" s="51">
        <v>3931</v>
      </c>
      <c r="Z27" s="51">
        <v>5001339</v>
      </c>
      <c r="AA27" s="33" t="s">
        <v>156</v>
      </c>
      <c r="AB27" s="258">
        <v>45677</v>
      </c>
      <c r="AC27" s="23">
        <v>2130596</v>
      </c>
      <c r="AD27" s="24" t="s">
        <v>90</v>
      </c>
      <c r="AE27" s="273" t="s">
        <v>98</v>
      </c>
      <c r="AF27" s="25">
        <v>0</v>
      </c>
      <c r="AG27" s="22" t="s">
        <v>159</v>
      </c>
      <c r="AH27" s="273" t="s">
        <v>98</v>
      </c>
      <c r="AI27" s="28">
        <v>0</v>
      </c>
      <c r="AJ27" s="27" t="s">
        <v>118</v>
      </c>
      <c r="AK27" s="280">
        <v>10792</v>
      </c>
      <c r="AL27" s="31">
        <v>18850</v>
      </c>
      <c r="AM27" s="279" t="s">
        <v>156</v>
      </c>
      <c r="AN27" s="29">
        <v>0</v>
      </c>
      <c r="AO27" s="266" t="s">
        <v>103</v>
      </c>
      <c r="AP27" s="18" t="s">
        <v>156</v>
      </c>
      <c r="AQ27" s="18" t="s">
        <v>156</v>
      </c>
      <c r="AR27" s="30">
        <v>0</v>
      </c>
      <c r="AS27" s="26"/>
      <c r="AT27" s="19"/>
      <c r="AU27" s="14"/>
      <c r="AV27" s="40">
        <v>45706</v>
      </c>
      <c r="AW27" s="14" t="str">
        <f t="shared" si="0"/>
        <v>JIAGSU001  XY-239369370 &amp; XY-239502505  5001339 4700064830, 4700063215</v>
      </c>
      <c r="AX27" s="14"/>
      <c r="AY27" s="14"/>
      <c r="AZ27" s="14"/>
      <c r="BA27" s="14"/>
      <c r="BB27" s="21" t="str">
        <f t="shared" si="6"/>
        <v>4700064830, 4700063215</v>
      </c>
      <c r="BD27" s="90">
        <f t="shared" si="2"/>
        <v>2185312.5</v>
      </c>
      <c r="BE27" s="90">
        <f t="shared" si="3"/>
        <v>349650</v>
      </c>
      <c r="BF27" s="90">
        <f>+BD27*0.18</f>
        <v>393356.25</v>
      </c>
      <c r="BG27" s="89">
        <f t="shared" si="7"/>
        <v>743006.25</v>
      </c>
    </row>
    <row r="28" spans="1:59" ht="15" customHeight="1" x14ac:dyDescent="0.25">
      <c r="A28" s="14"/>
      <c r="B28" s="232" t="s">
        <v>48</v>
      </c>
      <c r="C28" s="11" t="s">
        <v>66</v>
      </c>
      <c r="D28" s="11" t="s">
        <v>61</v>
      </c>
      <c r="E28" s="11" t="s">
        <v>278</v>
      </c>
      <c r="F28" s="11">
        <v>4700065224</v>
      </c>
      <c r="G28" s="14" t="s">
        <v>206</v>
      </c>
      <c r="H28" s="32" t="s">
        <v>142</v>
      </c>
      <c r="I28" s="32" t="s">
        <v>365</v>
      </c>
      <c r="J28" s="39" t="s">
        <v>270</v>
      </c>
      <c r="K28" s="11" t="s">
        <v>310</v>
      </c>
      <c r="L28" s="11" t="s">
        <v>288</v>
      </c>
      <c r="M28" s="12">
        <v>33887.379999999997</v>
      </c>
      <c r="N28" s="11" t="s">
        <v>71</v>
      </c>
      <c r="O28" s="135">
        <v>45666</v>
      </c>
      <c r="P28" s="135">
        <v>45672</v>
      </c>
      <c r="Q28" s="11" t="s">
        <v>73</v>
      </c>
      <c r="R28" s="135">
        <v>45681</v>
      </c>
      <c r="S28" s="13"/>
      <c r="T28" s="42" t="s">
        <v>144</v>
      </c>
      <c r="U28" s="38" t="s">
        <v>346</v>
      </c>
      <c r="V28" s="152">
        <v>1480</v>
      </c>
      <c r="W28" s="17">
        <f>120+19.2</f>
        <v>139.19999999999999</v>
      </c>
      <c r="X28" s="34">
        <f t="shared" si="5"/>
        <v>1619.2</v>
      </c>
      <c r="Y28" s="51">
        <v>3931</v>
      </c>
      <c r="Z28" s="51">
        <v>5001387</v>
      </c>
      <c r="AA28" s="33" t="s">
        <v>156</v>
      </c>
      <c r="AB28" s="258">
        <v>45677</v>
      </c>
      <c r="AC28" s="23">
        <v>671616</v>
      </c>
      <c r="AD28" s="24" t="s">
        <v>90</v>
      </c>
      <c r="AE28" s="273" t="s">
        <v>98</v>
      </c>
      <c r="AF28" s="25">
        <v>0</v>
      </c>
      <c r="AG28" s="22" t="s">
        <v>128</v>
      </c>
      <c r="AH28" s="273" t="s">
        <v>156</v>
      </c>
      <c r="AI28" s="28">
        <v>0</v>
      </c>
      <c r="AJ28" s="27" t="s">
        <v>118</v>
      </c>
      <c r="AK28" s="280">
        <v>10768</v>
      </c>
      <c r="AL28" s="31">
        <v>18850</v>
      </c>
      <c r="AM28" s="284" t="s">
        <v>156</v>
      </c>
      <c r="AN28" s="29">
        <v>0</v>
      </c>
      <c r="AO28" s="266" t="s">
        <v>103</v>
      </c>
      <c r="AP28" s="18" t="s">
        <v>156</v>
      </c>
      <c r="AQ28" s="18" t="s">
        <v>156</v>
      </c>
      <c r="AR28" s="30">
        <v>0</v>
      </c>
      <c r="AS28" s="26"/>
      <c r="AT28" s="19"/>
      <c r="AU28" s="14"/>
      <c r="AV28" s="40">
        <v>45685</v>
      </c>
      <c r="AW28" s="14" t="str">
        <f t="shared" si="0"/>
        <v>LIMA001 F001-00004893  5001387 4700065224</v>
      </c>
      <c r="AX28" s="14"/>
      <c r="AY28" s="14">
        <v>20001206</v>
      </c>
      <c r="AZ28" s="14"/>
      <c r="BA28" s="14">
        <v>20001207</v>
      </c>
      <c r="BB28" s="21">
        <f t="shared" si="6"/>
        <v>4700065224</v>
      </c>
      <c r="BD28" s="90">
        <f t="shared" si="2"/>
        <v>711634.98</v>
      </c>
      <c r="BE28" s="90">
        <f t="shared" si="3"/>
        <v>113861.5968</v>
      </c>
      <c r="BF28" s="90">
        <f>+BD28*0.008</f>
        <v>5693.0798400000003</v>
      </c>
      <c r="BG28" s="89">
        <f t="shared" si="7"/>
        <v>119554.67664000001</v>
      </c>
    </row>
    <row r="29" spans="1:59" ht="14.45" customHeight="1" x14ac:dyDescent="0.25">
      <c r="A29" s="14"/>
      <c r="B29" s="232" t="s">
        <v>48</v>
      </c>
      <c r="C29" s="11" t="s">
        <v>127</v>
      </c>
      <c r="D29" s="11" t="s">
        <v>60</v>
      </c>
      <c r="E29" s="11" t="s">
        <v>162</v>
      </c>
      <c r="F29" s="11">
        <v>4700065430</v>
      </c>
      <c r="G29" s="14" t="s">
        <v>155</v>
      </c>
      <c r="H29" s="32" t="s">
        <v>123</v>
      </c>
      <c r="I29" s="32" t="s">
        <v>372</v>
      </c>
      <c r="J29" s="39" t="s">
        <v>156</v>
      </c>
      <c r="K29" s="11" t="s">
        <v>205</v>
      </c>
      <c r="L29" s="11" t="s">
        <v>292</v>
      </c>
      <c r="M29" s="12">
        <v>445.75</v>
      </c>
      <c r="N29" s="11" t="s">
        <v>71</v>
      </c>
      <c r="O29" s="135">
        <v>45646</v>
      </c>
      <c r="P29" s="135">
        <v>45657</v>
      </c>
      <c r="Q29" s="59" t="s">
        <v>73</v>
      </c>
      <c r="R29" s="135">
        <v>45666</v>
      </c>
      <c r="S29" s="179"/>
      <c r="T29" s="42" t="s">
        <v>27</v>
      </c>
      <c r="U29" s="38" t="s">
        <v>385</v>
      </c>
      <c r="V29" s="16">
        <v>563</v>
      </c>
      <c r="W29" s="17">
        <v>357</v>
      </c>
      <c r="X29" s="34">
        <f t="shared" si="5"/>
        <v>920</v>
      </c>
      <c r="Y29" s="51">
        <v>1688</v>
      </c>
      <c r="Z29" s="51">
        <v>5001619</v>
      </c>
      <c r="AA29" s="33" t="s">
        <v>156</v>
      </c>
      <c r="AB29" s="258">
        <v>45665</v>
      </c>
      <c r="AC29" s="23">
        <v>82172</v>
      </c>
      <c r="AD29" s="24" t="s">
        <v>27</v>
      </c>
      <c r="AE29" s="273" t="s">
        <v>319</v>
      </c>
      <c r="AF29" s="25">
        <f>100893.22/2</f>
        <v>50446.61</v>
      </c>
      <c r="AG29" s="22" t="s">
        <v>128</v>
      </c>
      <c r="AH29" s="273">
        <v>9866.66</v>
      </c>
      <c r="AI29" s="28">
        <v>0</v>
      </c>
      <c r="AJ29" s="26" t="s">
        <v>103</v>
      </c>
      <c r="AK29" s="273" t="s">
        <v>156</v>
      </c>
      <c r="AL29" s="31">
        <v>0</v>
      </c>
      <c r="AM29" s="279" t="s">
        <v>156</v>
      </c>
      <c r="AN29" s="29">
        <v>0</v>
      </c>
      <c r="AO29" s="266" t="s">
        <v>103</v>
      </c>
      <c r="AP29" s="18" t="s">
        <v>156</v>
      </c>
      <c r="AQ29" s="18" t="s">
        <v>156</v>
      </c>
      <c r="AR29" s="30">
        <v>0</v>
      </c>
      <c r="AS29" s="26"/>
      <c r="AT29" s="19"/>
      <c r="AU29" s="14"/>
      <c r="AV29" s="40">
        <v>45671</v>
      </c>
      <c r="AW29" s="14" t="str">
        <f t="shared" si="0"/>
        <v>LOWENSTEIN#04  A44692  5001619 4700065430</v>
      </c>
      <c r="AX29" s="14">
        <v>20000958</v>
      </c>
      <c r="AY29" s="14"/>
      <c r="AZ29" s="14"/>
      <c r="BA29" s="14"/>
      <c r="BB29" s="21">
        <f t="shared" si="6"/>
        <v>4700065430</v>
      </c>
      <c r="BD29" s="90">
        <f t="shared" si="2"/>
        <v>9360.75</v>
      </c>
      <c r="BE29" s="90">
        <f t="shared" si="3"/>
        <v>1497.72</v>
      </c>
      <c r="BF29" s="90">
        <f>+BD29*0.008</f>
        <v>74.885999999999996</v>
      </c>
      <c r="BG29" s="89">
        <f t="shared" si="7"/>
        <v>1572.606</v>
      </c>
    </row>
    <row r="30" spans="1:59" ht="14.45" customHeight="1" x14ac:dyDescent="0.25">
      <c r="A30" s="14"/>
      <c r="B30" s="232" t="s">
        <v>48</v>
      </c>
      <c r="C30" s="11" t="s">
        <v>127</v>
      </c>
      <c r="D30" s="11" t="s">
        <v>60</v>
      </c>
      <c r="E30" s="11" t="s">
        <v>154</v>
      </c>
      <c r="F30" s="11">
        <v>4700063900</v>
      </c>
      <c r="G30" s="14" t="s">
        <v>155</v>
      </c>
      <c r="H30" s="32" t="s">
        <v>123</v>
      </c>
      <c r="I30" s="32" t="s">
        <v>373</v>
      </c>
      <c r="J30" s="39" t="s">
        <v>156</v>
      </c>
      <c r="K30" s="11">
        <v>139201.1</v>
      </c>
      <c r="L30" s="11" t="s">
        <v>292</v>
      </c>
      <c r="M30" s="12">
        <v>988.25</v>
      </c>
      <c r="N30" s="11" t="s">
        <v>71</v>
      </c>
      <c r="O30" s="135">
        <v>45649</v>
      </c>
      <c r="P30" s="135">
        <v>45657</v>
      </c>
      <c r="Q30" s="59" t="s">
        <v>73</v>
      </c>
      <c r="R30" s="135">
        <v>45666</v>
      </c>
      <c r="S30" s="179"/>
      <c r="T30" s="42" t="s">
        <v>27</v>
      </c>
      <c r="U30" s="38" t="s">
        <v>385</v>
      </c>
      <c r="V30" s="16">
        <v>345</v>
      </c>
      <c r="W30" s="17">
        <v>357</v>
      </c>
      <c r="X30" s="34">
        <f t="shared" si="5"/>
        <v>702</v>
      </c>
      <c r="Y30" s="51">
        <v>1688</v>
      </c>
      <c r="Z30" s="51">
        <v>5001619</v>
      </c>
      <c r="AA30" s="33" t="s">
        <v>156</v>
      </c>
      <c r="AB30" s="258">
        <v>45665</v>
      </c>
      <c r="AC30" s="23">
        <v>82172</v>
      </c>
      <c r="AD30" s="24" t="s">
        <v>27</v>
      </c>
      <c r="AE30" s="273" t="s">
        <v>319</v>
      </c>
      <c r="AF30" s="25">
        <f>100893.22/2</f>
        <v>50446.61</v>
      </c>
      <c r="AG30" s="22" t="s">
        <v>128</v>
      </c>
      <c r="AH30" s="273">
        <v>9866.66</v>
      </c>
      <c r="AI30" s="28">
        <v>0</v>
      </c>
      <c r="AJ30" s="26" t="s">
        <v>103</v>
      </c>
      <c r="AK30" s="273" t="s">
        <v>156</v>
      </c>
      <c r="AL30" s="31">
        <v>0</v>
      </c>
      <c r="AM30" s="279" t="s">
        <v>156</v>
      </c>
      <c r="AN30" s="29">
        <v>0</v>
      </c>
      <c r="AO30" s="266" t="s">
        <v>103</v>
      </c>
      <c r="AP30" s="18" t="s">
        <v>156</v>
      </c>
      <c r="AQ30" s="18" t="s">
        <v>156</v>
      </c>
      <c r="AR30" s="30">
        <v>0</v>
      </c>
      <c r="AS30" s="26"/>
      <c r="AT30" s="19"/>
      <c r="AU30" s="14"/>
      <c r="AV30" s="40">
        <v>45671</v>
      </c>
      <c r="AW30" s="14" t="str">
        <f t="shared" si="0"/>
        <v>AGILEX#02  139201.1  5001619 4700063900</v>
      </c>
      <c r="AX30" s="14">
        <v>20000958</v>
      </c>
      <c r="AY30" s="14"/>
      <c r="AZ30" s="14"/>
      <c r="BA30" s="14"/>
      <c r="BB30" s="21">
        <f t="shared" si="6"/>
        <v>4700063900</v>
      </c>
      <c r="BD30" s="90">
        <f t="shared" si="2"/>
        <v>20753.25</v>
      </c>
      <c r="BE30" s="90">
        <f t="shared" si="3"/>
        <v>3320.52</v>
      </c>
      <c r="BF30" s="90">
        <f>+BD30*0.008</f>
        <v>166.02600000000001</v>
      </c>
      <c r="BG30" s="89">
        <f t="shared" si="7"/>
        <v>3486.5459999999998</v>
      </c>
    </row>
    <row r="31" spans="1:59" ht="14.45" customHeight="1" x14ac:dyDescent="0.25">
      <c r="A31" s="14"/>
      <c r="B31" s="232" t="s">
        <v>48</v>
      </c>
      <c r="C31" s="11" t="s">
        <v>127</v>
      </c>
      <c r="D31" s="11" t="s">
        <v>60</v>
      </c>
      <c r="E31" s="11" t="s">
        <v>214</v>
      </c>
      <c r="F31" s="11">
        <v>4700064820</v>
      </c>
      <c r="G31" s="14" t="s">
        <v>155</v>
      </c>
      <c r="H31" s="32" t="s">
        <v>123</v>
      </c>
      <c r="I31" s="32" t="s">
        <v>373</v>
      </c>
      <c r="J31" s="39" t="s">
        <v>156</v>
      </c>
      <c r="K31" s="11">
        <v>401635470</v>
      </c>
      <c r="L31" s="11" t="s">
        <v>292</v>
      </c>
      <c r="M31" s="12">
        <v>2610</v>
      </c>
      <c r="N31" s="11" t="s">
        <v>71</v>
      </c>
      <c r="O31" s="135">
        <v>45646</v>
      </c>
      <c r="P31" s="135">
        <v>45657</v>
      </c>
      <c r="Q31" s="59" t="s">
        <v>73</v>
      </c>
      <c r="R31" s="135">
        <v>45666</v>
      </c>
      <c r="S31" s="179"/>
      <c r="T31" s="42" t="s">
        <v>27</v>
      </c>
      <c r="U31" s="38" t="s">
        <v>385</v>
      </c>
      <c r="V31" s="16">
        <v>497.72</v>
      </c>
      <c r="W31" s="17">
        <v>357</v>
      </c>
      <c r="X31" s="34">
        <f t="shared" si="5"/>
        <v>854.72</v>
      </c>
      <c r="Y31" s="51">
        <v>1688</v>
      </c>
      <c r="Z31" s="51">
        <v>5001619</v>
      </c>
      <c r="AA31" s="33" t="s">
        <v>156</v>
      </c>
      <c r="AB31" s="258">
        <v>45665</v>
      </c>
      <c r="AC31" s="23">
        <v>82172</v>
      </c>
      <c r="AD31" s="24" t="s">
        <v>27</v>
      </c>
      <c r="AE31" s="273" t="s">
        <v>319</v>
      </c>
      <c r="AF31" s="25">
        <f>100893.22/2</f>
        <v>50446.61</v>
      </c>
      <c r="AG31" s="22" t="s">
        <v>128</v>
      </c>
      <c r="AH31" s="273">
        <v>9866.66</v>
      </c>
      <c r="AI31" s="28">
        <v>0</v>
      </c>
      <c r="AJ31" s="26" t="s">
        <v>103</v>
      </c>
      <c r="AK31" s="273" t="s">
        <v>156</v>
      </c>
      <c r="AL31" s="31">
        <v>0</v>
      </c>
      <c r="AM31" s="279" t="s">
        <v>156</v>
      </c>
      <c r="AN31" s="29">
        <v>0</v>
      </c>
      <c r="AO31" s="266" t="s">
        <v>103</v>
      </c>
      <c r="AP31" s="18" t="s">
        <v>156</v>
      </c>
      <c r="AQ31" s="18" t="s">
        <v>156</v>
      </c>
      <c r="AR31" s="30">
        <v>0</v>
      </c>
      <c r="AS31" s="26"/>
      <c r="AT31" s="19"/>
      <c r="AU31" s="14"/>
      <c r="AV31" s="40">
        <v>45671</v>
      </c>
      <c r="AW31" s="14" t="str">
        <f t="shared" si="0"/>
        <v>GIVAUDAN#03 401635470  5001619 4700064820</v>
      </c>
      <c r="AX31" s="14">
        <v>20000958</v>
      </c>
      <c r="AY31" s="14"/>
      <c r="AZ31" s="14"/>
      <c r="BA31" s="14"/>
      <c r="BB31" s="21">
        <f t="shared" si="6"/>
        <v>4700064820</v>
      </c>
      <c r="BD31" s="90">
        <f t="shared" si="2"/>
        <v>54810</v>
      </c>
      <c r="BE31" s="90">
        <f t="shared" si="3"/>
        <v>8769.6</v>
      </c>
      <c r="BF31" s="90">
        <f>+BD31*0.008</f>
        <v>438.48</v>
      </c>
      <c r="BG31" s="89">
        <f t="shared" si="7"/>
        <v>9208.08</v>
      </c>
    </row>
    <row r="32" spans="1:59" ht="14.45" customHeight="1" x14ac:dyDescent="0.25">
      <c r="A32" s="14"/>
      <c r="B32" s="232" t="s">
        <v>48</v>
      </c>
      <c r="C32" s="11" t="s">
        <v>127</v>
      </c>
      <c r="D32" s="11" t="s">
        <v>60</v>
      </c>
      <c r="E32" s="11" t="s">
        <v>273</v>
      </c>
      <c r="F32" s="11">
        <v>3501217245</v>
      </c>
      <c r="G32" s="14" t="s">
        <v>109</v>
      </c>
      <c r="H32" s="32" t="s">
        <v>123</v>
      </c>
      <c r="I32" s="32" t="s">
        <v>365</v>
      </c>
      <c r="J32" s="39" t="s">
        <v>252</v>
      </c>
      <c r="K32" s="11" t="s">
        <v>253</v>
      </c>
      <c r="L32" s="11" t="s">
        <v>292</v>
      </c>
      <c r="M32" s="58">
        <v>12902.75</v>
      </c>
      <c r="N32" s="11" t="s">
        <v>71</v>
      </c>
      <c r="O32" s="135">
        <v>45663</v>
      </c>
      <c r="P32" s="135">
        <v>45665</v>
      </c>
      <c r="Q32" s="59" t="s">
        <v>73</v>
      </c>
      <c r="R32" s="135">
        <v>45666</v>
      </c>
      <c r="S32" s="179"/>
      <c r="T32" s="42" t="s">
        <v>34</v>
      </c>
      <c r="U32" s="38" t="s">
        <v>156</v>
      </c>
      <c r="V32" s="16">
        <v>0</v>
      </c>
      <c r="W32" s="17">
        <v>0</v>
      </c>
      <c r="X32" s="34">
        <f t="shared" si="5"/>
        <v>0</v>
      </c>
      <c r="Y32" s="51">
        <v>1688</v>
      </c>
      <c r="Z32" s="51">
        <v>5001621</v>
      </c>
      <c r="AA32" s="33" t="s">
        <v>156</v>
      </c>
      <c r="AB32" s="258">
        <v>45664</v>
      </c>
      <c r="AC32" s="23">
        <v>266710</v>
      </c>
      <c r="AD32" s="24" t="s">
        <v>27</v>
      </c>
      <c r="AE32" s="273" t="s">
        <v>386</v>
      </c>
      <c r="AF32" s="25">
        <v>14274.47</v>
      </c>
      <c r="AG32" s="22" t="s">
        <v>34</v>
      </c>
      <c r="AH32" s="273" t="s">
        <v>156</v>
      </c>
      <c r="AI32" s="28">
        <v>0</v>
      </c>
      <c r="AJ32" s="26" t="s">
        <v>103</v>
      </c>
      <c r="AK32" s="273" t="s">
        <v>156</v>
      </c>
      <c r="AL32" s="31">
        <v>0</v>
      </c>
      <c r="AM32" s="279" t="s">
        <v>156</v>
      </c>
      <c r="AN32" s="29">
        <v>0</v>
      </c>
      <c r="AO32" s="266" t="s">
        <v>103</v>
      </c>
      <c r="AP32" s="18" t="s">
        <v>156</v>
      </c>
      <c r="AQ32" s="18" t="s">
        <v>156</v>
      </c>
      <c r="AR32" s="30">
        <v>0</v>
      </c>
      <c r="AS32" s="26"/>
      <c r="AT32" s="19"/>
      <c r="AU32" s="14"/>
      <c r="AV32" s="40">
        <v>45671</v>
      </c>
      <c r="AW32" s="14" t="str">
        <f t="shared" si="0"/>
        <v>ONYXX001 / AVEDA001  INV63415  5001621 3501217245</v>
      </c>
      <c r="AX32" s="14"/>
      <c r="AY32" s="14"/>
      <c r="AZ32" s="14"/>
      <c r="BA32" s="14"/>
      <c r="BB32" s="21">
        <f t="shared" si="6"/>
        <v>3501217245</v>
      </c>
      <c r="BD32" s="90">
        <f t="shared" si="2"/>
        <v>270957.75</v>
      </c>
      <c r="BE32" s="90">
        <f t="shared" si="3"/>
        <v>43353.24</v>
      </c>
      <c r="BF32" s="90">
        <f>+BD32*0.008</f>
        <v>2167.6620000000003</v>
      </c>
      <c r="BG32" s="89">
        <f t="shared" si="7"/>
        <v>45520.902000000002</v>
      </c>
    </row>
    <row r="33" spans="1:59" ht="14.45" customHeight="1" x14ac:dyDescent="0.25">
      <c r="A33" s="14"/>
      <c r="B33" s="232" t="s">
        <v>48</v>
      </c>
      <c r="C33" s="11" t="s">
        <v>94</v>
      </c>
      <c r="D33" s="11" t="s">
        <v>60</v>
      </c>
      <c r="E33" s="11" t="s">
        <v>357</v>
      </c>
      <c r="F33" s="11" t="s">
        <v>359</v>
      </c>
      <c r="G33" s="14" t="s">
        <v>96</v>
      </c>
      <c r="H33" s="32" t="s">
        <v>123</v>
      </c>
      <c r="I33" s="32" t="s">
        <v>366</v>
      </c>
      <c r="J33" s="39"/>
      <c r="K33" s="11" t="s">
        <v>358</v>
      </c>
      <c r="L33" s="11" t="s">
        <v>292</v>
      </c>
      <c r="M33" s="12" t="s">
        <v>360</v>
      </c>
      <c r="N33" s="11" t="s">
        <v>71</v>
      </c>
      <c r="O33" s="135">
        <v>45692</v>
      </c>
      <c r="P33" s="135">
        <v>45692</v>
      </c>
      <c r="Q33" s="59" t="s">
        <v>73</v>
      </c>
      <c r="R33" s="135">
        <v>45692</v>
      </c>
      <c r="S33" s="172"/>
      <c r="T33" s="42" t="s">
        <v>103</v>
      </c>
      <c r="U33" s="38" t="s">
        <v>156</v>
      </c>
      <c r="V33" s="16">
        <v>0</v>
      </c>
      <c r="W33" s="17">
        <v>0</v>
      </c>
      <c r="X33" s="34">
        <f t="shared" si="5"/>
        <v>0</v>
      </c>
      <c r="Y33" s="51">
        <v>9001</v>
      </c>
      <c r="Z33" s="51">
        <v>5000557</v>
      </c>
      <c r="AA33" s="33" t="s">
        <v>387</v>
      </c>
      <c r="AB33" s="258">
        <v>45688</v>
      </c>
      <c r="AC33" s="23">
        <v>276214</v>
      </c>
      <c r="AD33" s="176" t="s">
        <v>103</v>
      </c>
      <c r="AE33" s="273" t="s">
        <v>103</v>
      </c>
      <c r="AF33" s="25">
        <v>0</v>
      </c>
      <c r="AG33" s="22" t="s">
        <v>95</v>
      </c>
      <c r="AH33" s="273" t="s">
        <v>438</v>
      </c>
      <c r="AI33" s="254">
        <v>7056</v>
      </c>
      <c r="AJ33" s="26" t="s">
        <v>103</v>
      </c>
      <c r="AK33" s="273" t="s">
        <v>156</v>
      </c>
      <c r="AL33" s="31">
        <v>0</v>
      </c>
      <c r="AM33" s="279" t="s">
        <v>156</v>
      </c>
      <c r="AN33" s="29">
        <v>0</v>
      </c>
      <c r="AO33" s="266" t="s">
        <v>103</v>
      </c>
      <c r="AP33" s="18" t="s">
        <v>156</v>
      </c>
      <c r="AQ33" s="18" t="s">
        <v>156</v>
      </c>
      <c r="AR33" s="30">
        <v>0</v>
      </c>
      <c r="AS33" s="26"/>
      <c r="AT33" s="19"/>
      <c r="AU33" s="14"/>
      <c r="AV33" s="40">
        <v>45671</v>
      </c>
      <c r="AW33" s="14" t="str">
        <f t="shared" si="0"/>
        <v>DRAGONG1002 2025-22035  5000557 4700065457 &amp; 4700064191</v>
      </c>
      <c r="AX33" s="14"/>
      <c r="AY33" s="14"/>
      <c r="AZ33" s="14"/>
      <c r="BA33" s="14"/>
      <c r="BB33" s="21" t="str">
        <f t="shared" si="6"/>
        <v>4700065457 &amp; 4700064191</v>
      </c>
      <c r="BD33" s="90" t="e">
        <f t="shared" si="2"/>
        <v>#VALUE!</v>
      </c>
      <c r="BE33" s="90" t="e">
        <f t="shared" si="3"/>
        <v>#VALUE!</v>
      </c>
      <c r="BF33" s="90" t="e">
        <f>+BD33*0.0058</f>
        <v>#VALUE!</v>
      </c>
      <c r="BG33" s="89" t="e">
        <f t="shared" si="7"/>
        <v>#VALUE!</v>
      </c>
    </row>
    <row r="34" spans="1:59" ht="14.45" customHeight="1" thickBot="1" x14ac:dyDescent="0.3">
      <c r="A34" s="206"/>
      <c r="B34" s="233" t="s">
        <v>48</v>
      </c>
      <c r="C34" s="207" t="s">
        <v>65</v>
      </c>
      <c r="D34" s="207" t="s">
        <v>60</v>
      </c>
      <c r="E34" s="207" t="s">
        <v>311</v>
      </c>
      <c r="F34" s="207" t="s">
        <v>157</v>
      </c>
      <c r="G34" s="207" t="s">
        <v>116</v>
      </c>
      <c r="H34" s="208" t="s">
        <v>121</v>
      </c>
      <c r="I34" s="32" t="s">
        <v>374</v>
      </c>
      <c r="J34" s="209" t="s">
        <v>326</v>
      </c>
      <c r="K34" s="207" t="s">
        <v>312</v>
      </c>
      <c r="L34" s="207" t="s">
        <v>291</v>
      </c>
      <c r="M34" s="210">
        <f>78453.39+68265.17</f>
        <v>146718.56</v>
      </c>
      <c r="N34" s="207" t="s">
        <v>71</v>
      </c>
      <c r="O34" s="211">
        <v>45646</v>
      </c>
      <c r="P34" s="211">
        <v>45673</v>
      </c>
      <c r="Q34" s="207" t="s">
        <v>73</v>
      </c>
      <c r="R34" s="211">
        <v>45684</v>
      </c>
      <c r="S34" s="212"/>
      <c r="T34" s="213" t="s">
        <v>34</v>
      </c>
      <c r="U34" s="214" t="s">
        <v>156</v>
      </c>
      <c r="V34" s="215">
        <v>0</v>
      </c>
      <c r="W34" s="216">
        <v>0</v>
      </c>
      <c r="X34" s="217">
        <f t="shared" si="5"/>
        <v>0</v>
      </c>
      <c r="Y34" s="218">
        <v>3921</v>
      </c>
      <c r="Z34" s="218">
        <v>5001822</v>
      </c>
      <c r="AA34" s="219" t="s">
        <v>156</v>
      </c>
      <c r="AB34" s="259">
        <v>45681</v>
      </c>
      <c r="AC34" s="220">
        <v>2889555</v>
      </c>
      <c r="AD34" s="221" t="s">
        <v>90</v>
      </c>
      <c r="AE34" s="274" t="s">
        <v>98</v>
      </c>
      <c r="AF34" s="222">
        <v>0</v>
      </c>
      <c r="AG34" s="223" t="s">
        <v>128</v>
      </c>
      <c r="AH34" s="274" t="s">
        <v>156</v>
      </c>
      <c r="AI34" s="224">
        <v>0</v>
      </c>
      <c r="AJ34" s="225" t="s">
        <v>118</v>
      </c>
      <c r="AK34" s="281">
        <v>10787</v>
      </c>
      <c r="AL34" s="227">
        <v>8810</v>
      </c>
      <c r="AM34" s="281" t="s">
        <v>156</v>
      </c>
      <c r="AN34" s="177">
        <v>0</v>
      </c>
      <c r="AO34" s="267" t="s">
        <v>103</v>
      </c>
      <c r="AP34" s="226" t="s">
        <v>156</v>
      </c>
      <c r="AQ34" s="226" t="s">
        <v>156</v>
      </c>
      <c r="AR34" s="228">
        <v>0</v>
      </c>
      <c r="AS34" s="229"/>
      <c r="AT34" s="230"/>
      <c r="AU34" s="206"/>
      <c r="AV34" s="231">
        <v>45706</v>
      </c>
      <c r="AW34" s="206" t="str">
        <f t="shared" si="0"/>
        <v>B&amp;BMP001 10046275 10046276  5001822 N/D</v>
      </c>
      <c r="AX34" s="206"/>
      <c r="AY34" s="206"/>
      <c r="AZ34" s="206"/>
      <c r="BA34" s="206"/>
      <c r="BB34" s="21" t="str">
        <f t="shared" si="6"/>
        <v>N/D</v>
      </c>
      <c r="BD34" s="90">
        <f t="shared" si="2"/>
        <v>3081089.76</v>
      </c>
      <c r="BE34" s="90">
        <f t="shared" si="3"/>
        <v>492974.36159999995</v>
      </c>
      <c r="BF34" s="90">
        <f>+BD34*0.018</f>
        <v>55459.615679999995</v>
      </c>
      <c r="BG34" s="89">
        <v>339647</v>
      </c>
    </row>
    <row r="35" spans="1:59" ht="14.45" customHeight="1" x14ac:dyDescent="0.25">
      <c r="A35" s="182"/>
      <c r="B35" s="234" t="s">
        <v>49</v>
      </c>
      <c r="C35" s="183" t="s">
        <v>66</v>
      </c>
      <c r="D35" s="200" t="s">
        <v>61</v>
      </c>
      <c r="E35" s="44" t="s">
        <v>279</v>
      </c>
      <c r="F35" s="246">
        <v>4700065224</v>
      </c>
      <c r="G35" s="182" t="s">
        <v>206</v>
      </c>
      <c r="H35" s="184" t="s">
        <v>142</v>
      </c>
      <c r="I35" s="32" t="s">
        <v>365</v>
      </c>
      <c r="J35" s="171" t="s">
        <v>274</v>
      </c>
      <c r="K35" s="183" t="s">
        <v>430</v>
      </c>
      <c r="L35" s="183" t="s">
        <v>288</v>
      </c>
      <c r="M35" s="185">
        <v>33179.72</v>
      </c>
      <c r="N35" s="59" t="s">
        <v>71</v>
      </c>
      <c r="O35" s="186">
        <v>45690</v>
      </c>
      <c r="P35" s="186">
        <v>45701</v>
      </c>
      <c r="Q35" s="11" t="s">
        <v>73</v>
      </c>
      <c r="R35" s="135">
        <v>45712</v>
      </c>
      <c r="S35" s="11"/>
      <c r="T35" s="187" t="s">
        <v>145</v>
      </c>
      <c r="U35" s="188" t="s">
        <v>98</v>
      </c>
      <c r="V35" s="189">
        <v>0</v>
      </c>
      <c r="W35" s="190">
        <v>0</v>
      </c>
      <c r="X35" s="191">
        <f t="shared" si="5"/>
        <v>0</v>
      </c>
      <c r="Y35" s="192">
        <v>3931</v>
      </c>
      <c r="Z35" s="192">
        <v>500269</v>
      </c>
      <c r="AA35" s="192"/>
      <c r="AB35" s="260">
        <v>45708</v>
      </c>
      <c r="AC35" s="193">
        <v>1312231</v>
      </c>
      <c r="AD35" s="194" t="s">
        <v>90</v>
      </c>
      <c r="AE35" s="275" t="s">
        <v>98</v>
      </c>
      <c r="AF35" s="195">
        <v>0</v>
      </c>
      <c r="AG35" s="196" t="s">
        <v>128</v>
      </c>
      <c r="AH35" s="275" t="s">
        <v>156</v>
      </c>
      <c r="AI35" s="197">
        <v>0</v>
      </c>
      <c r="AJ35" s="198" t="s">
        <v>118</v>
      </c>
      <c r="AK35" s="282" t="s">
        <v>98</v>
      </c>
      <c r="AL35" s="199">
        <v>0</v>
      </c>
      <c r="AM35" s="285" t="s">
        <v>156</v>
      </c>
      <c r="AN35" s="201">
        <v>0</v>
      </c>
      <c r="AO35" s="268" t="s">
        <v>103</v>
      </c>
      <c r="AP35" s="200" t="s">
        <v>156</v>
      </c>
      <c r="AQ35" s="200" t="s">
        <v>156</v>
      </c>
      <c r="AR35" s="202">
        <v>0</v>
      </c>
      <c r="AS35" s="203"/>
      <c r="AT35" s="204"/>
      <c r="AU35" s="182"/>
      <c r="AV35" s="205"/>
      <c r="AW35" s="182" t="e">
        <f>+E35&amp;" "&amp;K35&amp;" "&amp;" "&amp;Z35&amp;" "&amp;#REF!</f>
        <v>#REF!</v>
      </c>
      <c r="AX35" s="182"/>
      <c r="AY35" s="182"/>
      <c r="AZ35" s="182"/>
      <c r="BA35" s="182"/>
      <c r="BB35" s="61"/>
      <c r="BD35" s="90">
        <f t="shared" ref="BD35:BD80" si="8">+M35*$BD$1</f>
        <v>696774.12</v>
      </c>
      <c r="BE35" s="90">
        <f t="shared" ref="BE35:BE80" si="9">+BD35*0.16</f>
        <v>111483.85920000001</v>
      </c>
      <c r="BF35" s="90">
        <f t="shared" ref="BF35:BF54" si="10">+BD35*0.008</f>
        <v>5574.1929600000003</v>
      </c>
      <c r="BG35" s="89">
        <f t="shared" ref="BG35:BG80" si="11">+BF35+BE35</f>
        <v>117058.05216000001</v>
      </c>
    </row>
    <row r="36" spans="1:59" ht="14.45" customHeight="1" x14ac:dyDescent="0.25">
      <c r="A36" s="14"/>
      <c r="B36" s="234" t="s">
        <v>49</v>
      </c>
      <c r="C36" s="11" t="s">
        <v>66</v>
      </c>
      <c r="D36" s="18" t="s">
        <v>61</v>
      </c>
      <c r="E36" s="44" t="s">
        <v>280</v>
      </c>
      <c r="F36" s="246">
        <v>4700065229</v>
      </c>
      <c r="G36" s="14" t="s">
        <v>206</v>
      </c>
      <c r="H36" s="32" t="s">
        <v>142</v>
      </c>
      <c r="I36" s="32" t="s">
        <v>365</v>
      </c>
      <c r="J36" s="39" t="s">
        <v>274</v>
      </c>
      <c r="K36" s="11" t="s">
        <v>431</v>
      </c>
      <c r="L36" s="11" t="s">
        <v>288</v>
      </c>
      <c r="M36" s="12">
        <v>33819.9</v>
      </c>
      <c r="N36" s="11" t="s">
        <v>71</v>
      </c>
      <c r="O36" s="135">
        <v>45690</v>
      </c>
      <c r="P36" s="135">
        <v>45701</v>
      </c>
      <c r="Q36" s="11" t="s">
        <v>73</v>
      </c>
      <c r="R36" s="135">
        <v>45712</v>
      </c>
      <c r="S36" s="11"/>
      <c r="T36" s="42" t="s">
        <v>145</v>
      </c>
      <c r="U36" s="38" t="s">
        <v>98</v>
      </c>
      <c r="V36" s="16">
        <v>0</v>
      </c>
      <c r="W36" s="17">
        <v>0</v>
      </c>
      <c r="X36" s="34">
        <f t="shared" si="5"/>
        <v>0</v>
      </c>
      <c r="Y36" s="51">
        <v>3931</v>
      </c>
      <c r="Z36" s="51">
        <v>500269</v>
      </c>
      <c r="AA36" s="192"/>
      <c r="AB36" s="261">
        <v>45708</v>
      </c>
      <c r="AC36" s="23">
        <v>1312231</v>
      </c>
      <c r="AD36" s="24" t="s">
        <v>90</v>
      </c>
      <c r="AE36" s="273" t="s">
        <v>98</v>
      </c>
      <c r="AF36" s="25">
        <v>0</v>
      </c>
      <c r="AG36" s="22" t="s">
        <v>128</v>
      </c>
      <c r="AH36" s="273" t="s">
        <v>156</v>
      </c>
      <c r="AI36" s="28">
        <v>0</v>
      </c>
      <c r="AJ36" s="27" t="s">
        <v>118</v>
      </c>
      <c r="AK36" s="280" t="s">
        <v>98</v>
      </c>
      <c r="AL36" s="31">
        <v>0</v>
      </c>
      <c r="AM36" s="284" t="s">
        <v>156</v>
      </c>
      <c r="AN36" s="29">
        <v>0</v>
      </c>
      <c r="AO36" s="266" t="s">
        <v>103</v>
      </c>
      <c r="AP36" s="18" t="s">
        <v>156</v>
      </c>
      <c r="AQ36" s="18" t="s">
        <v>156</v>
      </c>
      <c r="AR36" s="30">
        <v>0</v>
      </c>
      <c r="AS36" s="26"/>
      <c r="AT36" s="19"/>
      <c r="AU36" s="14"/>
      <c r="AV36" s="40"/>
      <c r="AW36" s="14" t="str">
        <f t="shared" ref="AW36:AW45" si="12">+E36&amp;" "&amp;K36&amp;" "&amp;" "&amp;Z36&amp;" "&amp;F35</f>
        <v>LIMA003 F001-00004950  500269 4700065224</v>
      </c>
      <c r="AX36" s="14"/>
      <c r="AY36" s="14"/>
      <c r="AZ36" s="14"/>
      <c r="BA36" s="14"/>
      <c r="BB36" s="21"/>
      <c r="BD36" s="90">
        <f t="shared" si="8"/>
        <v>710217.9</v>
      </c>
      <c r="BE36" s="90">
        <f t="shared" si="9"/>
        <v>113634.864</v>
      </c>
      <c r="BF36" s="90">
        <f t="shared" si="10"/>
        <v>5681.7431999999999</v>
      </c>
      <c r="BG36" s="89">
        <f t="shared" si="11"/>
        <v>119316.6072</v>
      </c>
    </row>
    <row r="37" spans="1:59" ht="14.45" customHeight="1" x14ac:dyDescent="0.25">
      <c r="A37" s="14"/>
      <c r="B37" s="234" t="s">
        <v>49</v>
      </c>
      <c r="C37" s="11" t="s">
        <v>66</v>
      </c>
      <c r="D37" s="18" t="s">
        <v>61</v>
      </c>
      <c r="E37" s="247" t="s">
        <v>277</v>
      </c>
      <c r="F37" s="11">
        <v>4700065226</v>
      </c>
      <c r="G37" s="14" t="s">
        <v>206</v>
      </c>
      <c r="H37" s="32" t="s">
        <v>142</v>
      </c>
      <c r="I37" s="32" t="s">
        <v>365</v>
      </c>
      <c r="J37" s="39" t="s">
        <v>362</v>
      </c>
      <c r="K37" s="11" t="s">
        <v>440</v>
      </c>
      <c r="L37" s="11" t="s">
        <v>288</v>
      </c>
      <c r="M37" s="12">
        <v>33900.78</v>
      </c>
      <c r="N37" s="11" t="s">
        <v>71</v>
      </c>
      <c r="O37" s="135">
        <v>45704</v>
      </c>
      <c r="P37" s="135">
        <f>+O37+11</f>
        <v>45715</v>
      </c>
      <c r="Q37" s="11" t="s">
        <v>76</v>
      </c>
      <c r="R37" s="135" t="s">
        <v>99</v>
      </c>
      <c r="S37" s="181" t="s">
        <v>557</v>
      </c>
      <c r="T37" s="42" t="s">
        <v>145</v>
      </c>
      <c r="U37" s="38" t="s">
        <v>98</v>
      </c>
      <c r="V37" s="16">
        <v>0</v>
      </c>
      <c r="W37" s="17">
        <v>0</v>
      </c>
      <c r="X37" s="34">
        <f t="shared" si="5"/>
        <v>0</v>
      </c>
      <c r="Y37" s="51" t="s">
        <v>309</v>
      </c>
      <c r="Z37" s="51" t="s">
        <v>309</v>
      </c>
      <c r="AA37" s="192" t="s">
        <v>156</v>
      </c>
      <c r="AB37" s="261" t="s">
        <v>309</v>
      </c>
      <c r="AC37" s="23">
        <v>0</v>
      </c>
      <c r="AD37" s="24" t="s">
        <v>90</v>
      </c>
      <c r="AE37" s="273" t="s">
        <v>98</v>
      </c>
      <c r="AF37" s="25">
        <v>0</v>
      </c>
      <c r="AG37" s="22" t="s">
        <v>128</v>
      </c>
      <c r="AH37" s="273" t="s">
        <v>156</v>
      </c>
      <c r="AI37" s="28">
        <v>0</v>
      </c>
      <c r="AJ37" s="27" t="s">
        <v>118</v>
      </c>
      <c r="AK37" s="280" t="s">
        <v>98</v>
      </c>
      <c r="AL37" s="31">
        <v>0</v>
      </c>
      <c r="AM37" s="279" t="s">
        <v>156</v>
      </c>
      <c r="AN37" s="29">
        <v>0</v>
      </c>
      <c r="AO37" s="266" t="s">
        <v>103</v>
      </c>
      <c r="AP37" s="18" t="s">
        <v>156</v>
      </c>
      <c r="AQ37" s="18" t="s">
        <v>156</v>
      </c>
      <c r="AR37" s="30">
        <v>0</v>
      </c>
      <c r="AS37" s="26"/>
      <c r="AT37" s="19"/>
      <c r="AU37" s="14"/>
      <c r="AV37" s="40"/>
      <c r="AW37" s="14" t="str">
        <f t="shared" si="12"/>
        <v>LIMA004 F001-00004975  n/d 4700065229</v>
      </c>
      <c r="AX37" s="14"/>
      <c r="AY37" s="14"/>
      <c r="AZ37" s="14"/>
      <c r="BA37" s="14"/>
      <c r="BB37" s="21"/>
      <c r="BD37" s="90">
        <f t="shared" si="8"/>
        <v>711916.38</v>
      </c>
      <c r="BE37" s="90">
        <f t="shared" si="9"/>
        <v>113906.6208</v>
      </c>
      <c r="BF37" s="90">
        <f t="shared" si="10"/>
        <v>5695.33104</v>
      </c>
      <c r="BG37" s="89">
        <f t="shared" si="11"/>
        <v>119601.95184000001</v>
      </c>
    </row>
    <row r="38" spans="1:59" ht="15" customHeight="1" x14ac:dyDescent="0.25">
      <c r="A38" s="91"/>
      <c r="B38" s="234" t="s">
        <v>49</v>
      </c>
      <c r="C38" s="59" t="s">
        <v>66</v>
      </c>
      <c r="D38" s="18" t="s">
        <v>61</v>
      </c>
      <c r="E38" s="247" t="s">
        <v>281</v>
      </c>
      <c r="F38" s="11">
        <v>4700065223</v>
      </c>
      <c r="G38" s="14" t="s">
        <v>206</v>
      </c>
      <c r="H38" s="32" t="s">
        <v>142</v>
      </c>
      <c r="I38" s="32" t="s">
        <v>365</v>
      </c>
      <c r="J38" s="39" t="s">
        <v>558</v>
      </c>
      <c r="K38" s="59" t="s">
        <v>446</v>
      </c>
      <c r="L38" s="59" t="s">
        <v>288</v>
      </c>
      <c r="M38" s="60">
        <f>15836.74+15025.9</f>
        <v>30862.639999999999</v>
      </c>
      <c r="N38" s="11" t="s">
        <v>71</v>
      </c>
      <c r="O38" s="135">
        <v>45704</v>
      </c>
      <c r="P38" s="135">
        <f>+O38+11</f>
        <v>45715</v>
      </c>
      <c r="Q38" s="11" t="s">
        <v>76</v>
      </c>
      <c r="R38" s="134" t="s">
        <v>99</v>
      </c>
      <c r="S38" s="181" t="s">
        <v>557</v>
      </c>
      <c r="T38" s="42" t="s">
        <v>145</v>
      </c>
      <c r="U38" s="38" t="s">
        <v>98</v>
      </c>
      <c r="V38" s="16">
        <v>0</v>
      </c>
      <c r="W38" s="17">
        <v>0</v>
      </c>
      <c r="X38" s="34">
        <f t="shared" si="5"/>
        <v>0</v>
      </c>
      <c r="Y38" s="51" t="s">
        <v>309</v>
      </c>
      <c r="Z38" s="51" t="s">
        <v>309</v>
      </c>
      <c r="AA38" s="192" t="s">
        <v>156</v>
      </c>
      <c r="AB38" s="261" t="s">
        <v>309</v>
      </c>
      <c r="AC38" s="23">
        <v>0</v>
      </c>
      <c r="AD38" s="24" t="s">
        <v>90</v>
      </c>
      <c r="AE38" s="273" t="s">
        <v>98</v>
      </c>
      <c r="AF38" s="25">
        <v>0</v>
      </c>
      <c r="AG38" s="22" t="s">
        <v>128</v>
      </c>
      <c r="AH38" s="273" t="s">
        <v>156</v>
      </c>
      <c r="AI38" s="28">
        <v>0</v>
      </c>
      <c r="AJ38" s="27" t="s">
        <v>118</v>
      </c>
      <c r="AK38" s="280" t="s">
        <v>98</v>
      </c>
      <c r="AL38" s="31">
        <v>0</v>
      </c>
      <c r="AM38" s="279" t="s">
        <v>156</v>
      </c>
      <c r="AN38" s="29">
        <v>0</v>
      </c>
      <c r="AO38" s="266" t="s">
        <v>103</v>
      </c>
      <c r="AP38" s="18" t="s">
        <v>156</v>
      </c>
      <c r="AQ38" s="18" t="s">
        <v>156</v>
      </c>
      <c r="AR38" s="30">
        <v>0</v>
      </c>
      <c r="AS38" s="26"/>
      <c r="AT38" s="19"/>
      <c r="AU38" s="14"/>
      <c r="AV38" s="40"/>
      <c r="AW38" s="14" t="str">
        <f t="shared" si="12"/>
        <v>LIMA005 F001-00004997, F001-00004998  n/d 4700065226</v>
      </c>
      <c r="AX38" s="14"/>
      <c r="AY38" s="14"/>
      <c r="AZ38" s="14"/>
      <c r="BA38" s="14"/>
      <c r="BB38" s="21"/>
      <c r="BD38" s="90">
        <f t="shared" si="8"/>
        <v>648115.43999999994</v>
      </c>
      <c r="BE38" s="90">
        <f t="shared" si="9"/>
        <v>103698.47039999999</v>
      </c>
      <c r="BF38" s="90">
        <f t="shared" si="10"/>
        <v>5184.9235199999994</v>
      </c>
      <c r="BG38" s="89">
        <f t="shared" si="11"/>
        <v>108883.39391999999</v>
      </c>
    </row>
    <row r="39" spans="1:59" ht="14.45" customHeight="1" x14ac:dyDescent="0.25">
      <c r="A39" s="14"/>
      <c r="B39" s="234" t="s">
        <v>49</v>
      </c>
      <c r="C39" s="49" t="s">
        <v>66</v>
      </c>
      <c r="D39" s="18" t="s">
        <v>60</v>
      </c>
      <c r="E39" s="11" t="s">
        <v>406</v>
      </c>
      <c r="F39" s="49" t="s">
        <v>407</v>
      </c>
      <c r="G39" s="14" t="s">
        <v>114</v>
      </c>
      <c r="H39" s="32" t="s">
        <v>169</v>
      </c>
      <c r="I39" s="32" t="s">
        <v>437</v>
      </c>
      <c r="J39" s="39" t="s">
        <v>436</v>
      </c>
      <c r="K39" s="49" t="s">
        <v>408</v>
      </c>
      <c r="L39" s="49" t="s">
        <v>291</v>
      </c>
      <c r="M39" s="50">
        <v>111100</v>
      </c>
      <c r="N39" s="11" t="s">
        <v>71</v>
      </c>
      <c r="O39" s="136">
        <v>45686</v>
      </c>
      <c r="P39" s="136">
        <v>45706</v>
      </c>
      <c r="Q39" s="11" t="s">
        <v>79</v>
      </c>
      <c r="R39" s="136" t="s">
        <v>99</v>
      </c>
      <c r="S39" s="49"/>
      <c r="T39" s="42" t="s">
        <v>34</v>
      </c>
      <c r="U39" s="38" t="s">
        <v>156</v>
      </c>
      <c r="V39" s="16">
        <v>0</v>
      </c>
      <c r="W39" s="17">
        <v>0</v>
      </c>
      <c r="X39" s="34">
        <f t="shared" ref="X39" si="13">V39+W39</f>
        <v>0</v>
      </c>
      <c r="Y39" s="51">
        <v>3931</v>
      </c>
      <c r="Z39" s="51">
        <v>5002880</v>
      </c>
      <c r="AA39" s="192">
        <v>45709</v>
      </c>
      <c r="AB39" s="261">
        <v>2277305</v>
      </c>
      <c r="AC39" s="23">
        <v>0</v>
      </c>
      <c r="AD39" s="24" t="s">
        <v>90</v>
      </c>
      <c r="AE39" s="273" t="s">
        <v>98</v>
      </c>
      <c r="AF39" s="25">
        <v>0</v>
      </c>
      <c r="AG39" s="22" t="s">
        <v>159</v>
      </c>
      <c r="AH39" s="273" t="s">
        <v>98</v>
      </c>
      <c r="AI39" s="28">
        <v>0</v>
      </c>
      <c r="AJ39" s="27" t="s">
        <v>118</v>
      </c>
      <c r="AK39" s="280" t="s">
        <v>98</v>
      </c>
      <c r="AL39" s="31">
        <v>0</v>
      </c>
      <c r="AM39" s="279" t="s">
        <v>156</v>
      </c>
      <c r="AN39" s="29">
        <v>0</v>
      </c>
      <c r="AO39" s="266" t="s">
        <v>103</v>
      </c>
      <c r="AP39" s="18" t="s">
        <v>156</v>
      </c>
      <c r="AQ39" s="18" t="s">
        <v>156</v>
      </c>
      <c r="AR39" s="30">
        <v>0</v>
      </c>
      <c r="AS39" s="26"/>
      <c r="AT39" s="19"/>
      <c r="AU39" s="14"/>
      <c r="AV39" s="40"/>
      <c r="AW39" s="14" t="str">
        <f t="shared" ref="AW39" si="14">+E39&amp;" "&amp;K39&amp;" "&amp;" "&amp;Z39&amp;" "&amp;F39</f>
        <v>JIAGSU002 XY-025015016  5002880 4700066132, 4700066133, 4700066130, 4700066134, 4700066187</v>
      </c>
      <c r="AX39" s="14"/>
      <c r="AY39" s="14"/>
      <c r="AZ39" s="14"/>
      <c r="BA39" s="14"/>
      <c r="BB39" s="21" t="str">
        <f t="shared" ref="BB39" si="15">+F39</f>
        <v>4700066132, 4700066133, 4700066130, 4700066134, 4700066187</v>
      </c>
      <c r="BD39" s="90">
        <f t="shared" si="8"/>
        <v>2333100</v>
      </c>
      <c r="BE39" s="90">
        <f t="shared" si="9"/>
        <v>373296</v>
      </c>
      <c r="BF39" s="90">
        <f>+BD39*0.18</f>
        <v>419958</v>
      </c>
      <c r="BG39" s="89">
        <f t="shared" si="11"/>
        <v>793254</v>
      </c>
    </row>
    <row r="40" spans="1:59" ht="14.45" customHeight="1" x14ac:dyDescent="0.25">
      <c r="A40" s="91" t="s">
        <v>479</v>
      </c>
      <c r="B40" s="234" t="s">
        <v>49</v>
      </c>
      <c r="C40" s="11" t="s">
        <v>66</v>
      </c>
      <c r="D40" s="18" t="s">
        <v>61</v>
      </c>
      <c r="E40" s="255" t="s">
        <v>282</v>
      </c>
      <c r="F40" s="11">
        <v>4700065236</v>
      </c>
      <c r="G40" s="14" t="s">
        <v>206</v>
      </c>
      <c r="H40" s="32" t="s">
        <v>142</v>
      </c>
      <c r="I40" s="32" t="s">
        <v>365</v>
      </c>
      <c r="J40" s="39" t="s">
        <v>361</v>
      </c>
      <c r="K40" s="11" t="s">
        <v>98</v>
      </c>
      <c r="L40" s="11" t="s">
        <v>288</v>
      </c>
      <c r="M40" s="12">
        <v>0</v>
      </c>
      <c r="N40" s="11" t="s">
        <v>71</v>
      </c>
      <c r="O40" s="135">
        <v>45711</v>
      </c>
      <c r="P40" s="135">
        <v>45722</v>
      </c>
      <c r="Q40" s="11" t="s">
        <v>85</v>
      </c>
      <c r="R40" s="135" t="s">
        <v>99</v>
      </c>
      <c r="S40" s="181" t="s">
        <v>432</v>
      </c>
      <c r="T40" s="42" t="s">
        <v>145</v>
      </c>
      <c r="U40" s="38" t="s">
        <v>98</v>
      </c>
      <c r="V40" s="16">
        <v>0</v>
      </c>
      <c r="W40" s="17">
        <v>0</v>
      </c>
      <c r="X40" s="34">
        <f t="shared" si="5"/>
        <v>0</v>
      </c>
      <c r="Y40" s="51" t="s">
        <v>309</v>
      </c>
      <c r="Z40" s="51" t="s">
        <v>309</v>
      </c>
      <c r="AA40" s="192" t="s">
        <v>156</v>
      </c>
      <c r="AB40" s="261" t="s">
        <v>309</v>
      </c>
      <c r="AC40" s="23">
        <v>0</v>
      </c>
      <c r="AD40" s="24" t="s">
        <v>90</v>
      </c>
      <c r="AE40" s="273" t="s">
        <v>98</v>
      </c>
      <c r="AF40" s="25">
        <v>0</v>
      </c>
      <c r="AG40" s="22" t="s">
        <v>128</v>
      </c>
      <c r="AH40" s="273" t="s">
        <v>156</v>
      </c>
      <c r="AI40" s="28">
        <v>0</v>
      </c>
      <c r="AJ40" s="27" t="s">
        <v>118</v>
      </c>
      <c r="AK40" s="280" t="s">
        <v>98</v>
      </c>
      <c r="AL40" s="31">
        <v>0</v>
      </c>
      <c r="AM40" s="279" t="s">
        <v>156</v>
      </c>
      <c r="AN40" s="29">
        <v>0</v>
      </c>
      <c r="AO40" s="266" t="s">
        <v>103</v>
      </c>
      <c r="AP40" s="18" t="s">
        <v>156</v>
      </c>
      <c r="AQ40" s="18" t="s">
        <v>156</v>
      </c>
      <c r="AR40" s="30">
        <v>0</v>
      </c>
      <c r="AS40" s="26"/>
      <c r="AT40" s="19"/>
      <c r="AU40" s="14"/>
      <c r="AV40" s="40"/>
      <c r="AW40" s="14" t="str">
        <f>+E40&amp;" "&amp;K40&amp;" "&amp;" "&amp;Z40&amp;" "&amp;F38</f>
        <v>LIMA006 PENDIENTE  n/d 4700065223</v>
      </c>
      <c r="AX40" s="14"/>
      <c r="AY40" s="14"/>
      <c r="AZ40" s="14"/>
      <c r="BA40" s="14"/>
      <c r="BB40" s="21"/>
      <c r="BD40" s="90">
        <f t="shared" si="8"/>
        <v>0</v>
      </c>
      <c r="BE40" s="90">
        <f t="shared" si="9"/>
        <v>0</v>
      </c>
      <c r="BF40" s="90">
        <f t="shared" si="10"/>
        <v>0</v>
      </c>
      <c r="BG40" s="89">
        <f t="shared" si="11"/>
        <v>0</v>
      </c>
    </row>
    <row r="41" spans="1:59" ht="14.45" customHeight="1" thickBot="1" x14ac:dyDescent="0.3">
      <c r="A41" s="206"/>
      <c r="B41" s="234" t="s">
        <v>49</v>
      </c>
      <c r="C41" s="207" t="s">
        <v>66</v>
      </c>
      <c r="D41" s="226" t="s">
        <v>61</v>
      </c>
      <c r="E41" s="207" t="s">
        <v>555</v>
      </c>
      <c r="F41" s="207"/>
      <c r="G41" s="207" t="s">
        <v>416</v>
      </c>
      <c r="H41" s="208" t="s">
        <v>121</v>
      </c>
      <c r="I41" s="32" t="s">
        <v>365</v>
      </c>
      <c r="J41" s="209" t="s">
        <v>417</v>
      </c>
      <c r="K41" s="207" t="s">
        <v>98</v>
      </c>
      <c r="L41" s="207" t="s">
        <v>288</v>
      </c>
      <c r="M41" s="210">
        <v>0</v>
      </c>
      <c r="N41" s="207" t="s">
        <v>71</v>
      </c>
      <c r="O41" s="211">
        <v>45704</v>
      </c>
      <c r="P41" s="211">
        <v>45713</v>
      </c>
      <c r="Q41" s="11" t="s">
        <v>76</v>
      </c>
      <c r="R41" s="211" t="s">
        <v>99</v>
      </c>
      <c r="S41" s="207" t="s">
        <v>450</v>
      </c>
      <c r="T41" s="213" t="s">
        <v>144</v>
      </c>
      <c r="U41" s="214" t="s">
        <v>98</v>
      </c>
      <c r="V41" s="215">
        <v>0</v>
      </c>
      <c r="W41" s="216">
        <v>0</v>
      </c>
      <c r="X41" s="217">
        <f>V41+W41</f>
        <v>0</v>
      </c>
      <c r="Y41" s="51" t="s">
        <v>309</v>
      </c>
      <c r="Z41" s="51" t="s">
        <v>309</v>
      </c>
      <c r="AA41" s="192" t="s">
        <v>156</v>
      </c>
      <c r="AB41" s="261" t="s">
        <v>309</v>
      </c>
      <c r="AC41" s="23">
        <v>0</v>
      </c>
      <c r="AD41" s="221" t="s">
        <v>90</v>
      </c>
      <c r="AE41" s="274" t="s">
        <v>98</v>
      </c>
      <c r="AF41" s="222">
        <v>0</v>
      </c>
      <c r="AG41" s="223" t="s">
        <v>128</v>
      </c>
      <c r="AH41" s="274" t="s">
        <v>156</v>
      </c>
      <c r="AI41" s="224">
        <v>0</v>
      </c>
      <c r="AJ41" s="225" t="s">
        <v>118</v>
      </c>
      <c r="AK41" s="281" t="s">
        <v>98</v>
      </c>
      <c r="AL41" s="227">
        <v>0</v>
      </c>
      <c r="AM41" s="281" t="s">
        <v>156</v>
      </c>
      <c r="AN41" s="177">
        <v>0</v>
      </c>
      <c r="AO41" s="267" t="s">
        <v>103</v>
      </c>
      <c r="AP41" s="226" t="s">
        <v>156</v>
      </c>
      <c r="AQ41" s="226" t="s">
        <v>156</v>
      </c>
      <c r="AR41" s="228">
        <v>0</v>
      </c>
      <c r="AS41" s="229"/>
      <c r="AT41" s="230"/>
      <c r="AU41" s="206"/>
      <c r="AV41" s="231"/>
      <c r="AW41" s="206" t="str">
        <f>+E41&amp;" "&amp;K41&amp;" "&amp;" "&amp;Z41&amp;" "&amp;F41</f>
        <v xml:space="preserve">WALDENCAST001 - ELEMENT001  PENDIENTE  n/d </v>
      </c>
      <c r="AX41" s="206"/>
      <c r="AY41" s="206"/>
      <c r="AZ41" s="206"/>
      <c r="BA41" s="206"/>
      <c r="BB41" s="21">
        <f>+F41</f>
        <v>0</v>
      </c>
      <c r="BD41" s="90">
        <f>+M41*$BD$1</f>
        <v>0</v>
      </c>
      <c r="BE41" s="90">
        <f>+BD41*0.16</f>
        <v>0</v>
      </c>
      <c r="BF41" s="90">
        <f>+BD41*0.158</f>
        <v>0</v>
      </c>
      <c r="BG41" s="89">
        <f>+BF41+BE41</f>
        <v>0</v>
      </c>
    </row>
    <row r="42" spans="1:59" ht="15" customHeight="1" x14ac:dyDescent="0.25">
      <c r="A42" s="91" t="s">
        <v>479</v>
      </c>
      <c r="B42" s="234" t="s">
        <v>49</v>
      </c>
      <c r="C42" s="59" t="s">
        <v>66</v>
      </c>
      <c r="D42" s="18" t="s">
        <v>61</v>
      </c>
      <c r="E42" s="256" t="s">
        <v>283</v>
      </c>
      <c r="F42" s="59">
        <v>4700065227</v>
      </c>
      <c r="G42" s="14" t="s">
        <v>206</v>
      </c>
      <c r="H42" s="32" t="s">
        <v>142</v>
      </c>
      <c r="I42" s="32" t="s">
        <v>365</v>
      </c>
      <c r="J42" s="39" t="s">
        <v>444</v>
      </c>
      <c r="K42" s="59" t="s">
        <v>98</v>
      </c>
      <c r="L42" s="59" t="s">
        <v>288</v>
      </c>
      <c r="M42" s="60">
        <v>0</v>
      </c>
      <c r="N42" s="11" t="s">
        <v>71</v>
      </c>
      <c r="O42" s="134"/>
      <c r="P42" s="134" t="s">
        <v>99</v>
      </c>
      <c r="Q42" s="11" t="s">
        <v>85</v>
      </c>
      <c r="R42" s="134" t="s">
        <v>99</v>
      </c>
      <c r="S42" s="13"/>
      <c r="T42" s="42" t="s">
        <v>145</v>
      </c>
      <c r="U42" s="38" t="s">
        <v>98</v>
      </c>
      <c r="V42" s="16">
        <v>0</v>
      </c>
      <c r="W42" s="17">
        <v>0</v>
      </c>
      <c r="X42" s="34">
        <f t="shared" ref="X42:X54" si="16">V42+W42</f>
        <v>0</v>
      </c>
      <c r="Y42" s="51" t="s">
        <v>309</v>
      </c>
      <c r="Z42" s="51" t="s">
        <v>309</v>
      </c>
      <c r="AA42" s="192" t="s">
        <v>156</v>
      </c>
      <c r="AB42" s="261" t="s">
        <v>309</v>
      </c>
      <c r="AC42" s="23">
        <v>0</v>
      </c>
      <c r="AD42" s="24" t="s">
        <v>90</v>
      </c>
      <c r="AE42" s="273" t="s">
        <v>98</v>
      </c>
      <c r="AF42" s="25">
        <v>0</v>
      </c>
      <c r="AG42" s="22" t="s">
        <v>128</v>
      </c>
      <c r="AH42" s="273" t="s">
        <v>156</v>
      </c>
      <c r="AI42" s="28">
        <v>0</v>
      </c>
      <c r="AJ42" s="27" t="s">
        <v>118</v>
      </c>
      <c r="AK42" s="280" t="s">
        <v>98</v>
      </c>
      <c r="AL42" s="31">
        <v>0</v>
      </c>
      <c r="AM42" s="279" t="s">
        <v>156</v>
      </c>
      <c r="AN42" s="29">
        <v>0</v>
      </c>
      <c r="AO42" s="266" t="s">
        <v>103</v>
      </c>
      <c r="AP42" s="18" t="s">
        <v>156</v>
      </c>
      <c r="AQ42" s="18" t="s">
        <v>156</v>
      </c>
      <c r="AR42" s="30">
        <v>0</v>
      </c>
      <c r="AS42" s="26"/>
      <c r="AT42" s="19"/>
      <c r="AU42" s="14"/>
      <c r="AV42" s="40"/>
      <c r="AW42" s="14" t="str">
        <f>+E42&amp;" "&amp;K42&amp;" "&amp;" "&amp;Z42&amp;" "&amp;F40</f>
        <v>LIMA007 PENDIENTE  n/d 4700065236</v>
      </c>
      <c r="AX42" s="14"/>
      <c r="AY42" s="14"/>
      <c r="AZ42" s="14"/>
      <c r="BA42" s="14"/>
      <c r="BB42" s="21"/>
      <c r="BD42" s="90">
        <f t="shared" si="8"/>
        <v>0</v>
      </c>
      <c r="BE42" s="90">
        <f t="shared" si="9"/>
        <v>0</v>
      </c>
      <c r="BF42" s="90">
        <f t="shared" si="10"/>
        <v>0</v>
      </c>
      <c r="BG42" s="89">
        <f t="shared" si="11"/>
        <v>0</v>
      </c>
    </row>
    <row r="43" spans="1:59" ht="15" customHeight="1" x14ac:dyDescent="0.25">
      <c r="A43" s="91" t="s">
        <v>479</v>
      </c>
      <c r="B43" s="234" t="s">
        <v>49</v>
      </c>
      <c r="C43" s="59" t="s">
        <v>66</v>
      </c>
      <c r="D43" s="18" t="s">
        <v>61</v>
      </c>
      <c r="E43" s="256" t="s">
        <v>284</v>
      </c>
      <c r="F43" s="59">
        <v>4700065228</v>
      </c>
      <c r="G43" s="14" t="s">
        <v>206</v>
      </c>
      <c r="H43" s="32" t="s">
        <v>142</v>
      </c>
      <c r="I43" s="32" t="s">
        <v>365</v>
      </c>
      <c r="J43" s="39" t="s">
        <v>445</v>
      </c>
      <c r="K43" s="59" t="s">
        <v>98</v>
      </c>
      <c r="L43" s="59" t="s">
        <v>288</v>
      </c>
      <c r="M43" s="60">
        <v>0</v>
      </c>
      <c r="N43" s="11" t="s">
        <v>71</v>
      </c>
      <c r="O43" s="134"/>
      <c r="P43" s="134" t="s">
        <v>99</v>
      </c>
      <c r="Q43" s="11" t="s">
        <v>85</v>
      </c>
      <c r="R43" s="134" t="s">
        <v>99</v>
      </c>
      <c r="S43" s="13"/>
      <c r="T43" s="42" t="s">
        <v>145</v>
      </c>
      <c r="U43" s="38" t="s">
        <v>98</v>
      </c>
      <c r="V43" s="16">
        <v>0</v>
      </c>
      <c r="W43" s="17">
        <v>0</v>
      </c>
      <c r="X43" s="34">
        <f t="shared" si="16"/>
        <v>0</v>
      </c>
      <c r="Y43" s="51" t="s">
        <v>309</v>
      </c>
      <c r="Z43" s="51" t="s">
        <v>309</v>
      </c>
      <c r="AA43" s="192" t="s">
        <v>156</v>
      </c>
      <c r="AB43" s="261" t="s">
        <v>309</v>
      </c>
      <c r="AC43" s="23">
        <v>0</v>
      </c>
      <c r="AD43" s="24" t="s">
        <v>90</v>
      </c>
      <c r="AE43" s="273" t="s">
        <v>98</v>
      </c>
      <c r="AF43" s="25">
        <v>0</v>
      </c>
      <c r="AG43" s="22" t="s">
        <v>128</v>
      </c>
      <c r="AH43" s="273" t="s">
        <v>156</v>
      </c>
      <c r="AI43" s="28">
        <v>0</v>
      </c>
      <c r="AJ43" s="27" t="s">
        <v>118</v>
      </c>
      <c r="AK43" s="280" t="s">
        <v>98</v>
      </c>
      <c r="AL43" s="31">
        <v>0</v>
      </c>
      <c r="AM43" s="279" t="s">
        <v>156</v>
      </c>
      <c r="AN43" s="29">
        <v>0</v>
      </c>
      <c r="AO43" s="266" t="s">
        <v>103</v>
      </c>
      <c r="AP43" s="18" t="s">
        <v>156</v>
      </c>
      <c r="AQ43" s="18" t="s">
        <v>156</v>
      </c>
      <c r="AR43" s="30">
        <v>0</v>
      </c>
      <c r="AS43" s="26"/>
      <c r="AT43" s="19"/>
      <c r="AU43" s="14"/>
      <c r="AV43" s="40"/>
      <c r="AW43" s="14" t="str">
        <f t="shared" si="12"/>
        <v>LIMA008 PENDIENTE  n/d 4700065227</v>
      </c>
      <c r="AX43" s="14"/>
      <c r="AY43" s="14"/>
      <c r="AZ43" s="14"/>
      <c r="BA43" s="14"/>
      <c r="BB43" s="21"/>
      <c r="BD43" s="90">
        <f t="shared" si="8"/>
        <v>0</v>
      </c>
      <c r="BE43" s="90">
        <f t="shared" si="9"/>
        <v>0</v>
      </c>
      <c r="BF43" s="90">
        <f t="shared" si="10"/>
        <v>0</v>
      </c>
      <c r="BG43" s="89">
        <f t="shared" si="11"/>
        <v>0</v>
      </c>
    </row>
    <row r="44" spans="1:59" ht="15" customHeight="1" x14ac:dyDescent="0.25">
      <c r="A44" s="14" t="s">
        <v>400</v>
      </c>
      <c r="B44" s="234" t="s">
        <v>49</v>
      </c>
      <c r="C44" s="59" t="s">
        <v>66</v>
      </c>
      <c r="D44" s="18" t="s">
        <v>61</v>
      </c>
      <c r="E44" s="44" t="s">
        <v>285</v>
      </c>
      <c r="F44" s="59">
        <v>4700066282</v>
      </c>
      <c r="G44" s="14" t="s">
        <v>206</v>
      </c>
      <c r="H44" s="32" t="s">
        <v>142</v>
      </c>
      <c r="I44" s="32" t="s">
        <v>365</v>
      </c>
      <c r="J44" s="171"/>
      <c r="K44" s="59" t="s">
        <v>98</v>
      </c>
      <c r="L44" s="59" t="s">
        <v>288</v>
      </c>
      <c r="M44" s="60">
        <v>0</v>
      </c>
      <c r="N44" s="11" t="s">
        <v>71</v>
      </c>
      <c r="O44" s="134"/>
      <c r="P44" s="134" t="s">
        <v>99</v>
      </c>
      <c r="Q44" s="11" t="s">
        <v>85</v>
      </c>
      <c r="R44" s="134" t="s">
        <v>99</v>
      </c>
      <c r="S44" s="13"/>
      <c r="T44" s="42" t="s">
        <v>145</v>
      </c>
      <c r="U44" s="38" t="s">
        <v>98</v>
      </c>
      <c r="V44" s="16">
        <v>0</v>
      </c>
      <c r="W44" s="17">
        <v>0</v>
      </c>
      <c r="X44" s="34">
        <f t="shared" si="16"/>
        <v>0</v>
      </c>
      <c r="Y44" s="51" t="s">
        <v>309</v>
      </c>
      <c r="Z44" s="51" t="s">
        <v>309</v>
      </c>
      <c r="AA44" s="192" t="s">
        <v>156</v>
      </c>
      <c r="AB44" s="261" t="s">
        <v>309</v>
      </c>
      <c r="AC44" s="23">
        <v>0</v>
      </c>
      <c r="AD44" s="24" t="s">
        <v>90</v>
      </c>
      <c r="AE44" s="273" t="s">
        <v>98</v>
      </c>
      <c r="AF44" s="25">
        <v>0</v>
      </c>
      <c r="AG44" s="22" t="s">
        <v>128</v>
      </c>
      <c r="AH44" s="273" t="s">
        <v>156</v>
      </c>
      <c r="AI44" s="28">
        <v>0</v>
      </c>
      <c r="AJ44" s="27" t="s">
        <v>118</v>
      </c>
      <c r="AK44" s="280" t="s">
        <v>98</v>
      </c>
      <c r="AL44" s="31">
        <v>0</v>
      </c>
      <c r="AM44" s="279" t="s">
        <v>156</v>
      </c>
      <c r="AN44" s="29">
        <v>0</v>
      </c>
      <c r="AO44" s="266" t="s">
        <v>103</v>
      </c>
      <c r="AP44" s="18" t="s">
        <v>156</v>
      </c>
      <c r="AQ44" s="18" t="s">
        <v>156</v>
      </c>
      <c r="AR44" s="30">
        <v>0</v>
      </c>
      <c r="AS44" s="26"/>
      <c r="AT44" s="19"/>
      <c r="AU44" s="14"/>
      <c r="AV44" s="40"/>
      <c r="AW44" s="14" t="str">
        <f t="shared" si="12"/>
        <v>LIMA009 PENDIENTE  n/d 4700065228</v>
      </c>
      <c r="AX44" s="14"/>
      <c r="AY44" s="14"/>
      <c r="AZ44" s="14"/>
      <c r="BA44" s="14"/>
      <c r="BB44" s="21"/>
      <c r="BD44" s="90">
        <f t="shared" si="8"/>
        <v>0</v>
      </c>
      <c r="BE44" s="90">
        <f t="shared" si="9"/>
        <v>0</v>
      </c>
      <c r="BF44" s="90">
        <f t="shared" si="10"/>
        <v>0</v>
      </c>
      <c r="BG44" s="89">
        <f t="shared" si="11"/>
        <v>0</v>
      </c>
    </row>
    <row r="45" spans="1:59" ht="14.45" customHeight="1" x14ac:dyDescent="0.25">
      <c r="A45" s="14" t="s">
        <v>401</v>
      </c>
      <c r="B45" s="234" t="s">
        <v>49</v>
      </c>
      <c r="C45" s="11" t="s">
        <v>66</v>
      </c>
      <c r="D45" s="18" t="s">
        <v>61</v>
      </c>
      <c r="E45" s="44" t="s">
        <v>286</v>
      </c>
      <c r="F45" s="11">
        <v>4700066165</v>
      </c>
      <c r="G45" s="14" t="s">
        <v>206</v>
      </c>
      <c r="H45" s="32" t="s">
        <v>142</v>
      </c>
      <c r="I45" s="32" t="s">
        <v>365</v>
      </c>
      <c r="J45" s="39"/>
      <c r="K45" s="11" t="s">
        <v>98</v>
      </c>
      <c r="L45" s="11" t="s">
        <v>288</v>
      </c>
      <c r="M45" s="12">
        <v>0</v>
      </c>
      <c r="N45" s="11" t="s">
        <v>71</v>
      </c>
      <c r="O45" s="135"/>
      <c r="P45" s="135" t="s">
        <v>99</v>
      </c>
      <c r="Q45" s="11" t="s">
        <v>85</v>
      </c>
      <c r="R45" s="135" t="s">
        <v>99</v>
      </c>
      <c r="S45" s="13"/>
      <c r="T45" s="42" t="s">
        <v>145</v>
      </c>
      <c r="U45" s="38" t="s">
        <v>98</v>
      </c>
      <c r="V45" s="16">
        <v>0</v>
      </c>
      <c r="W45" s="17">
        <v>0</v>
      </c>
      <c r="X45" s="34">
        <f t="shared" si="16"/>
        <v>0</v>
      </c>
      <c r="Y45" s="51" t="s">
        <v>309</v>
      </c>
      <c r="Z45" s="51" t="s">
        <v>309</v>
      </c>
      <c r="AA45" s="192" t="s">
        <v>156</v>
      </c>
      <c r="AB45" s="261" t="s">
        <v>309</v>
      </c>
      <c r="AC45" s="23">
        <v>0</v>
      </c>
      <c r="AD45" s="24" t="s">
        <v>90</v>
      </c>
      <c r="AE45" s="273" t="s">
        <v>98</v>
      </c>
      <c r="AF45" s="25">
        <v>0</v>
      </c>
      <c r="AG45" s="22" t="s">
        <v>128</v>
      </c>
      <c r="AH45" s="273" t="s">
        <v>156</v>
      </c>
      <c r="AI45" s="28">
        <v>0</v>
      </c>
      <c r="AJ45" s="27" t="s">
        <v>118</v>
      </c>
      <c r="AK45" s="280" t="s">
        <v>98</v>
      </c>
      <c r="AL45" s="31">
        <v>0</v>
      </c>
      <c r="AM45" s="279" t="s">
        <v>156</v>
      </c>
      <c r="AN45" s="29">
        <v>0</v>
      </c>
      <c r="AO45" s="266" t="s">
        <v>103</v>
      </c>
      <c r="AP45" s="18" t="s">
        <v>156</v>
      </c>
      <c r="AQ45" s="18" t="s">
        <v>156</v>
      </c>
      <c r="AR45" s="30">
        <v>0</v>
      </c>
      <c r="AS45" s="26"/>
      <c r="AT45" s="19"/>
      <c r="AU45" s="14"/>
      <c r="AV45" s="40"/>
      <c r="AW45" s="14" t="str">
        <f t="shared" si="12"/>
        <v>LIMA010 PENDIENTE  n/d 4700066282</v>
      </c>
      <c r="AX45" s="14"/>
      <c r="AY45" s="14"/>
      <c r="AZ45" s="14"/>
      <c r="BA45" s="14"/>
      <c r="BB45" s="21"/>
      <c r="BD45" s="90">
        <f t="shared" si="8"/>
        <v>0</v>
      </c>
      <c r="BE45" s="90">
        <f t="shared" si="9"/>
        <v>0</v>
      </c>
      <c r="BF45" s="90">
        <f t="shared" si="10"/>
        <v>0</v>
      </c>
      <c r="BG45" s="89">
        <f t="shared" si="11"/>
        <v>0</v>
      </c>
    </row>
    <row r="46" spans="1:59" ht="14.45" customHeight="1" x14ac:dyDescent="0.25">
      <c r="A46" s="14" t="s">
        <v>402</v>
      </c>
      <c r="B46" s="234" t="s">
        <v>49</v>
      </c>
      <c r="C46" s="11" t="s">
        <v>66</v>
      </c>
      <c r="D46" s="18" t="s">
        <v>61</v>
      </c>
      <c r="E46" s="44" t="s">
        <v>396</v>
      </c>
      <c r="F46" s="11">
        <v>4700066284</v>
      </c>
      <c r="G46" s="14" t="s">
        <v>206</v>
      </c>
      <c r="H46" s="32" t="s">
        <v>142</v>
      </c>
      <c r="I46" s="32" t="s">
        <v>365</v>
      </c>
      <c r="J46" s="39"/>
      <c r="K46" s="11" t="s">
        <v>98</v>
      </c>
      <c r="L46" s="11" t="s">
        <v>288</v>
      </c>
      <c r="M46" s="12">
        <v>0</v>
      </c>
      <c r="N46" s="11" t="s">
        <v>71</v>
      </c>
      <c r="O46" s="135"/>
      <c r="P46" s="135" t="s">
        <v>99</v>
      </c>
      <c r="Q46" s="11" t="s">
        <v>85</v>
      </c>
      <c r="R46" s="135" t="s">
        <v>99</v>
      </c>
      <c r="S46" s="13"/>
      <c r="T46" s="42" t="s">
        <v>145</v>
      </c>
      <c r="U46" s="38" t="s">
        <v>98</v>
      </c>
      <c r="V46" s="16">
        <v>0</v>
      </c>
      <c r="W46" s="17">
        <v>0</v>
      </c>
      <c r="X46" s="34">
        <f t="shared" ref="X46:X49" si="17">V46+W46</f>
        <v>0</v>
      </c>
      <c r="Y46" s="51" t="s">
        <v>309</v>
      </c>
      <c r="Z46" s="51" t="s">
        <v>309</v>
      </c>
      <c r="AA46" s="192" t="s">
        <v>156</v>
      </c>
      <c r="AB46" s="261" t="s">
        <v>309</v>
      </c>
      <c r="AC46" s="23">
        <v>0</v>
      </c>
      <c r="AD46" s="24" t="s">
        <v>90</v>
      </c>
      <c r="AE46" s="273" t="s">
        <v>98</v>
      </c>
      <c r="AF46" s="25">
        <v>0</v>
      </c>
      <c r="AG46" s="22" t="s">
        <v>128</v>
      </c>
      <c r="AH46" s="273" t="s">
        <v>156</v>
      </c>
      <c r="AI46" s="28">
        <v>0</v>
      </c>
      <c r="AJ46" s="27" t="s">
        <v>118</v>
      </c>
      <c r="AK46" s="280" t="s">
        <v>98</v>
      </c>
      <c r="AL46" s="31">
        <v>0</v>
      </c>
      <c r="AM46" s="279" t="s">
        <v>156</v>
      </c>
      <c r="AN46" s="29">
        <v>0</v>
      </c>
      <c r="AO46" s="266" t="s">
        <v>103</v>
      </c>
      <c r="AP46" s="18" t="s">
        <v>156</v>
      </c>
      <c r="AQ46" s="18" t="s">
        <v>156</v>
      </c>
      <c r="AR46" s="30">
        <v>0</v>
      </c>
      <c r="AS46" s="26"/>
      <c r="AT46" s="19"/>
      <c r="AU46" s="14"/>
      <c r="AV46" s="40"/>
      <c r="AW46" s="14" t="str">
        <f t="shared" ref="AW46:AW49" si="18">+E46&amp;" "&amp;K46&amp;" "&amp;" "&amp;Z46&amp;" "&amp;F45</f>
        <v>LIMA011 PENDIENTE  n/d 4700066165</v>
      </c>
      <c r="AX46" s="14"/>
      <c r="AY46" s="14"/>
      <c r="AZ46" s="14"/>
      <c r="BA46" s="14"/>
      <c r="BB46" s="21"/>
      <c r="BD46" s="90">
        <f t="shared" ref="BD46:BD49" si="19">+M46*$BD$1</f>
        <v>0</v>
      </c>
      <c r="BE46" s="90">
        <f t="shared" ref="BE46:BE49" si="20">+BD46*0.16</f>
        <v>0</v>
      </c>
      <c r="BF46" s="90">
        <f t="shared" ref="BF46:BF49" si="21">+BD46*0.008</f>
        <v>0</v>
      </c>
      <c r="BG46" s="89">
        <f t="shared" ref="BG46:BG49" si="22">+BF46+BE46</f>
        <v>0</v>
      </c>
    </row>
    <row r="47" spans="1:59" ht="14.45" customHeight="1" x14ac:dyDescent="0.25">
      <c r="A47" s="14" t="s">
        <v>403</v>
      </c>
      <c r="B47" s="234" t="s">
        <v>49</v>
      </c>
      <c r="C47" s="11" t="s">
        <v>66</v>
      </c>
      <c r="D47" s="18" t="s">
        <v>61</v>
      </c>
      <c r="E47" s="44" t="s">
        <v>397</v>
      </c>
      <c r="F47" s="11">
        <v>4700066283</v>
      </c>
      <c r="G47" s="14" t="s">
        <v>206</v>
      </c>
      <c r="H47" s="32" t="s">
        <v>142</v>
      </c>
      <c r="I47" s="32" t="s">
        <v>365</v>
      </c>
      <c r="J47" s="39"/>
      <c r="K47" s="11" t="s">
        <v>98</v>
      </c>
      <c r="L47" s="11" t="s">
        <v>288</v>
      </c>
      <c r="M47" s="12">
        <v>0</v>
      </c>
      <c r="N47" s="11" t="s">
        <v>71</v>
      </c>
      <c r="O47" s="135"/>
      <c r="P47" s="135" t="s">
        <v>99</v>
      </c>
      <c r="Q47" s="11" t="s">
        <v>85</v>
      </c>
      <c r="R47" s="135" t="s">
        <v>99</v>
      </c>
      <c r="S47" s="13"/>
      <c r="T47" s="42" t="s">
        <v>145</v>
      </c>
      <c r="U47" s="38" t="s">
        <v>98</v>
      </c>
      <c r="V47" s="16">
        <v>0</v>
      </c>
      <c r="W47" s="17">
        <v>0</v>
      </c>
      <c r="X47" s="34">
        <f t="shared" si="17"/>
        <v>0</v>
      </c>
      <c r="Y47" s="51" t="s">
        <v>309</v>
      </c>
      <c r="Z47" s="51" t="s">
        <v>309</v>
      </c>
      <c r="AA47" s="192" t="s">
        <v>156</v>
      </c>
      <c r="AB47" s="261" t="s">
        <v>309</v>
      </c>
      <c r="AC47" s="23">
        <v>0</v>
      </c>
      <c r="AD47" s="24" t="s">
        <v>90</v>
      </c>
      <c r="AE47" s="273" t="s">
        <v>98</v>
      </c>
      <c r="AF47" s="25">
        <v>0</v>
      </c>
      <c r="AG47" s="22" t="s">
        <v>128</v>
      </c>
      <c r="AH47" s="273" t="s">
        <v>156</v>
      </c>
      <c r="AI47" s="28">
        <v>0</v>
      </c>
      <c r="AJ47" s="27" t="s">
        <v>118</v>
      </c>
      <c r="AK47" s="280" t="s">
        <v>98</v>
      </c>
      <c r="AL47" s="31">
        <v>0</v>
      </c>
      <c r="AM47" s="279" t="s">
        <v>156</v>
      </c>
      <c r="AN47" s="29">
        <v>0</v>
      </c>
      <c r="AO47" s="266" t="s">
        <v>103</v>
      </c>
      <c r="AP47" s="18" t="s">
        <v>156</v>
      </c>
      <c r="AQ47" s="18" t="s">
        <v>156</v>
      </c>
      <c r="AR47" s="30">
        <v>0</v>
      </c>
      <c r="AS47" s="26"/>
      <c r="AT47" s="19"/>
      <c r="AU47" s="14"/>
      <c r="AV47" s="40"/>
      <c r="AW47" s="14" t="str">
        <f t="shared" si="18"/>
        <v>LIMA012 PENDIENTE  n/d 4700066284</v>
      </c>
      <c r="AX47" s="14"/>
      <c r="AY47" s="14"/>
      <c r="AZ47" s="14"/>
      <c r="BA47" s="14"/>
      <c r="BB47" s="21"/>
      <c r="BD47" s="90">
        <f t="shared" si="19"/>
        <v>0</v>
      </c>
      <c r="BE47" s="90">
        <f t="shared" si="20"/>
        <v>0</v>
      </c>
      <c r="BF47" s="90">
        <f t="shared" si="21"/>
        <v>0</v>
      </c>
      <c r="BG47" s="89">
        <f t="shared" si="22"/>
        <v>0</v>
      </c>
    </row>
    <row r="48" spans="1:59" ht="14.45" customHeight="1" x14ac:dyDescent="0.25">
      <c r="A48" s="14" t="s">
        <v>404</v>
      </c>
      <c r="B48" s="234" t="s">
        <v>49</v>
      </c>
      <c r="C48" s="11" t="s">
        <v>66</v>
      </c>
      <c r="D48" s="18" t="s">
        <v>61</v>
      </c>
      <c r="E48" s="44" t="s">
        <v>398</v>
      </c>
      <c r="F48" s="11">
        <v>4700066285</v>
      </c>
      <c r="G48" s="14" t="s">
        <v>206</v>
      </c>
      <c r="H48" s="32" t="s">
        <v>142</v>
      </c>
      <c r="I48" s="32" t="s">
        <v>365</v>
      </c>
      <c r="J48" s="39"/>
      <c r="K48" s="11" t="s">
        <v>98</v>
      </c>
      <c r="L48" s="11" t="s">
        <v>288</v>
      </c>
      <c r="M48" s="12">
        <v>0</v>
      </c>
      <c r="N48" s="11" t="s">
        <v>71</v>
      </c>
      <c r="O48" s="135"/>
      <c r="P48" s="135" t="s">
        <v>99</v>
      </c>
      <c r="Q48" s="11" t="s">
        <v>85</v>
      </c>
      <c r="R48" s="135" t="s">
        <v>99</v>
      </c>
      <c r="S48" s="13"/>
      <c r="T48" s="42" t="s">
        <v>145</v>
      </c>
      <c r="U48" s="38" t="s">
        <v>98</v>
      </c>
      <c r="V48" s="16">
        <v>0</v>
      </c>
      <c r="W48" s="17">
        <v>0</v>
      </c>
      <c r="X48" s="34">
        <f t="shared" si="17"/>
        <v>0</v>
      </c>
      <c r="Y48" s="51" t="s">
        <v>309</v>
      </c>
      <c r="Z48" s="51" t="s">
        <v>309</v>
      </c>
      <c r="AA48" s="192" t="s">
        <v>156</v>
      </c>
      <c r="AB48" s="261" t="s">
        <v>309</v>
      </c>
      <c r="AC48" s="23">
        <v>0</v>
      </c>
      <c r="AD48" s="24" t="s">
        <v>90</v>
      </c>
      <c r="AE48" s="273" t="s">
        <v>98</v>
      </c>
      <c r="AF48" s="25">
        <v>0</v>
      </c>
      <c r="AG48" s="22" t="s">
        <v>128</v>
      </c>
      <c r="AH48" s="273" t="s">
        <v>156</v>
      </c>
      <c r="AI48" s="28">
        <v>0</v>
      </c>
      <c r="AJ48" s="27" t="s">
        <v>118</v>
      </c>
      <c r="AK48" s="280" t="s">
        <v>98</v>
      </c>
      <c r="AL48" s="31">
        <v>0</v>
      </c>
      <c r="AM48" s="279" t="s">
        <v>156</v>
      </c>
      <c r="AN48" s="29">
        <v>0</v>
      </c>
      <c r="AO48" s="266" t="s">
        <v>103</v>
      </c>
      <c r="AP48" s="18" t="s">
        <v>156</v>
      </c>
      <c r="AQ48" s="18" t="s">
        <v>156</v>
      </c>
      <c r="AR48" s="30">
        <v>0</v>
      </c>
      <c r="AS48" s="26"/>
      <c r="AT48" s="19"/>
      <c r="AU48" s="14"/>
      <c r="AV48" s="40"/>
      <c r="AW48" s="14" t="str">
        <f t="shared" si="18"/>
        <v>LIMA013 PENDIENTE  n/d 4700066283</v>
      </c>
      <c r="AX48" s="14"/>
      <c r="AY48" s="14"/>
      <c r="AZ48" s="14"/>
      <c r="BA48" s="14"/>
      <c r="BB48" s="21"/>
      <c r="BD48" s="90">
        <f t="shared" si="19"/>
        <v>0</v>
      </c>
      <c r="BE48" s="90">
        <f t="shared" si="20"/>
        <v>0</v>
      </c>
      <c r="BF48" s="90">
        <f t="shared" si="21"/>
        <v>0</v>
      </c>
      <c r="BG48" s="89">
        <f t="shared" si="22"/>
        <v>0</v>
      </c>
    </row>
    <row r="49" spans="1:59" ht="14.45" customHeight="1" x14ac:dyDescent="0.25">
      <c r="A49" s="14" t="s">
        <v>405</v>
      </c>
      <c r="B49" s="234" t="s">
        <v>49</v>
      </c>
      <c r="C49" s="11" t="s">
        <v>66</v>
      </c>
      <c r="D49" s="18" t="s">
        <v>61</v>
      </c>
      <c r="E49" s="44" t="s">
        <v>399</v>
      </c>
      <c r="F49" s="11">
        <v>4700066286</v>
      </c>
      <c r="G49" s="14" t="s">
        <v>206</v>
      </c>
      <c r="H49" s="32" t="s">
        <v>142</v>
      </c>
      <c r="I49" s="32" t="s">
        <v>365</v>
      </c>
      <c r="J49" s="39"/>
      <c r="K49" s="11" t="s">
        <v>98</v>
      </c>
      <c r="L49" s="11" t="s">
        <v>288</v>
      </c>
      <c r="M49" s="12">
        <v>0</v>
      </c>
      <c r="N49" s="11" t="s">
        <v>71</v>
      </c>
      <c r="O49" s="135"/>
      <c r="P49" s="135" t="s">
        <v>99</v>
      </c>
      <c r="Q49" s="11" t="s">
        <v>85</v>
      </c>
      <c r="R49" s="135" t="s">
        <v>99</v>
      </c>
      <c r="S49" s="13"/>
      <c r="T49" s="42" t="s">
        <v>145</v>
      </c>
      <c r="U49" s="38" t="s">
        <v>98</v>
      </c>
      <c r="V49" s="16">
        <v>0</v>
      </c>
      <c r="W49" s="17">
        <v>0</v>
      </c>
      <c r="X49" s="34">
        <f t="shared" si="17"/>
        <v>0</v>
      </c>
      <c r="Y49" s="51" t="s">
        <v>309</v>
      </c>
      <c r="Z49" s="51" t="s">
        <v>309</v>
      </c>
      <c r="AA49" s="192" t="s">
        <v>156</v>
      </c>
      <c r="AB49" s="261" t="s">
        <v>309</v>
      </c>
      <c r="AC49" s="23">
        <v>0</v>
      </c>
      <c r="AD49" s="24" t="s">
        <v>90</v>
      </c>
      <c r="AE49" s="273" t="s">
        <v>98</v>
      </c>
      <c r="AF49" s="25">
        <v>0</v>
      </c>
      <c r="AG49" s="22" t="s">
        <v>128</v>
      </c>
      <c r="AH49" s="273" t="s">
        <v>156</v>
      </c>
      <c r="AI49" s="28">
        <v>0</v>
      </c>
      <c r="AJ49" s="27" t="s">
        <v>118</v>
      </c>
      <c r="AK49" s="280" t="s">
        <v>98</v>
      </c>
      <c r="AL49" s="31">
        <v>0</v>
      </c>
      <c r="AM49" s="279" t="s">
        <v>156</v>
      </c>
      <c r="AN49" s="29">
        <v>0</v>
      </c>
      <c r="AO49" s="266" t="s">
        <v>103</v>
      </c>
      <c r="AP49" s="18" t="s">
        <v>156</v>
      </c>
      <c r="AQ49" s="18" t="s">
        <v>156</v>
      </c>
      <c r="AR49" s="30">
        <v>0</v>
      </c>
      <c r="AS49" s="26"/>
      <c r="AT49" s="19"/>
      <c r="AU49" s="14"/>
      <c r="AV49" s="40"/>
      <c r="AW49" s="14" t="str">
        <f t="shared" si="18"/>
        <v>LIMA014 PENDIENTE  n/d 4700066285</v>
      </c>
      <c r="AX49" s="14"/>
      <c r="AY49" s="14"/>
      <c r="AZ49" s="14"/>
      <c r="BA49" s="14"/>
      <c r="BB49" s="21"/>
      <c r="BD49" s="90">
        <f t="shared" si="19"/>
        <v>0</v>
      </c>
      <c r="BE49" s="90">
        <f t="shared" si="20"/>
        <v>0</v>
      </c>
      <c r="BF49" s="90">
        <f t="shared" si="21"/>
        <v>0</v>
      </c>
      <c r="BG49" s="89">
        <f t="shared" si="22"/>
        <v>0</v>
      </c>
    </row>
    <row r="50" spans="1:59" ht="14.45" customHeight="1" x14ac:dyDescent="0.25">
      <c r="A50" s="14"/>
      <c r="B50" s="234" t="s">
        <v>49</v>
      </c>
      <c r="C50" s="11" t="s">
        <v>127</v>
      </c>
      <c r="D50" s="18" t="s">
        <v>61</v>
      </c>
      <c r="E50" s="11" t="s">
        <v>330</v>
      </c>
      <c r="F50" s="141">
        <v>4700066290</v>
      </c>
      <c r="G50" s="14" t="s">
        <v>447</v>
      </c>
      <c r="H50" s="32" t="s">
        <v>337</v>
      </c>
      <c r="I50" s="32" t="s">
        <v>365</v>
      </c>
      <c r="J50" s="39"/>
      <c r="K50" s="11">
        <v>8425687</v>
      </c>
      <c r="L50" s="11" t="s">
        <v>292</v>
      </c>
      <c r="M50" s="12">
        <v>12244.81</v>
      </c>
      <c r="N50" s="11" t="s">
        <v>71</v>
      </c>
      <c r="O50" s="135">
        <v>45692</v>
      </c>
      <c r="P50" s="135">
        <v>45694</v>
      </c>
      <c r="Q50" s="11" t="s">
        <v>73</v>
      </c>
      <c r="R50" s="135">
        <v>45702</v>
      </c>
      <c r="S50" s="172"/>
      <c r="T50" s="42" t="s">
        <v>388</v>
      </c>
      <c r="U50" s="38" t="s">
        <v>545</v>
      </c>
      <c r="V50" s="16">
        <v>2070</v>
      </c>
      <c r="W50" s="17">
        <v>0</v>
      </c>
      <c r="X50" s="34">
        <f t="shared" si="16"/>
        <v>2070</v>
      </c>
      <c r="Y50" s="51">
        <v>1688</v>
      </c>
      <c r="Z50" s="51">
        <v>5001750</v>
      </c>
      <c r="AA50" s="192" t="s">
        <v>156</v>
      </c>
      <c r="AB50" s="261">
        <v>45699</v>
      </c>
      <c r="AC50" s="23">
        <v>248255</v>
      </c>
      <c r="AD50" s="24" t="s">
        <v>27</v>
      </c>
      <c r="AE50" s="273" t="s">
        <v>546</v>
      </c>
      <c r="AF50" s="25">
        <v>63607.74</v>
      </c>
      <c r="AG50" s="22" t="s">
        <v>128</v>
      </c>
      <c r="AH50" s="273" t="s">
        <v>156</v>
      </c>
      <c r="AI50" s="28">
        <v>38500</v>
      </c>
      <c r="AJ50" s="26" t="s">
        <v>103</v>
      </c>
      <c r="AK50" s="273" t="s">
        <v>156</v>
      </c>
      <c r="AL50" s="31">
        <v>0</v>
      </c>
      <c r="AM50" s="279" t="s">
        <v>156</v>
      </c>
      <c r="AN50" s="29">
        <v>0</v>
      </c>
      <c r="AO50" s="266" t="s">
        <v>103</v>
      </c>
      <c r="AP50" s="18" t="s">
        <v>156</v>
      </c>
      <c r="AQ50" s="18" t="s">
        <v>156</v>
      </c>
      <c r="AR50" s="30">
        <v>0</v>
      </c>
      <c r="AS50" s="26"/>
      <c r="AT50" s="19"/>
      <c r="AU50" s="14"/>
      <c r="AV50" s="40">
        <v>45706</v>
      </c>
      <c r="AW50" s="14" t="str">
        <f t="shared" ref="AW50:AW80" si="23">+E50&amp;" "&amp;K50&amp;" "&amp;" "&amp;Z50&amp;" "&amp;F50</f>
        <v>BERRY001 8425687  5001750 4700066290</v>
      </c>
      <c r="AX50" s="14"/>
      <c r="AY50" s="14"/>
      <c r="AZ50" s="14"/>
      <c r="BA50" s="14"/>
      <c r="BB50" s="21"/>
      <c r="BD50" s="90">
        <f t="shared" si="8"/>
        <v>257141.00999999998</v>
      </c>
      <c r="BE50" s="90">
        <f t="shared" si="9"/>
        <v>41142.561600000001</v>
      </c>
      <c r="BF50" s="90">
        <f t="shared" si="10"/>
        <v>2057.12808</v>
      </c>
      <c r="BG50" s="89">
        <f t="shared" si="11"/>
        <v>43199.689680000003</v>
      </c>
    </row>
    <row r="51" spans="1:59" ht="14.45" customHeight="1" x14ac:dyDescent="0.25">
      <c r="A51" s="14"/>
      <c r="B51" s="234" t="s">
        <v>49</v>
      </c>
      <c r="C51" s="11" t="s">
        <v>127</v>
      </c>
      <c r="D51" s="18" t="s">
        <v>60</v>
      </c>
      <c r="E51" s="11" t="s">
        <v>305</v>
      </c>
      <c r="F51" s="141">
        <v>4700066052</v>
      </c>
      <c r="G51" s="14" t="s">
        <v>155</v>
      </c>
      <c r="H51" s="32" t="s">
        <v>123</v>
      </c>
      <c r="I51" s="32" t="s">
        <v>449</v>
      </c>
      <c r="J51" s="39"/>
      <c r="K51" s="11" t="s">
        <v>559</v>
      </c>
      <c r="L51" s="11" t="s">
        <v>292</v>
      </c>
      <c r="M51" s="12">
        <v>891.5</v>
      </c>
      <c r="N51" s="11" t="s">
        <v>71</v>
      </c>
      <c r="O51" s="135">
        <v>45702</v>
      </c>
      <c r="P51" s="135">
        <v>45709</v>
      </c>
      <c r="Q51" s="11" t="s">
        <v>83</v>
      </c>
      <c r="R51" s="135" t="s">
        <v>99</v>
      </c>
      <c r="S51" s="172"/>
      <c r="T51" s="42" t="s">
        <v>251</v>
      </c>
      <c r="U51" s="38" t="s">
        <v>98</v>
      </c>
      <c r="V51" s="16">
        <v>0</v>
      </c>
      <c r="W51" s="17">
        <v>0</v>
      </c>
      <c r="X51" s="34">
        <f>V51+W51</f>
        <v>0</v>
      </c>
      <c r="Y51" s="51" t="s">
        <v>309</v>
      </c>
      <c r="Z51" s="51" t="s">
        <v>309</v>
      </c>
      <c r="AA51" s="192" t="s">
        <v>156</v>
      </c>
      <c r="AB51" s="261" t="s">
        <v>309</v>
      </c>
      <c r="AC51" s="23">
        <v>0</v>
      </c>
      <c r="AD51" s="24" t="s">
        <v>27</v>
      </c>
      <c r="AE51" s="273" t="s">
        <v>98</v>
      </c>
      <c r="AF51" s="25">
        <v>0</v>
      </c>
      <c r="AG51" s="22" t="s">
        <v>128</v>
      </c>
      <c r="AH51" s="273" t="s">
        <v>156</v>
      </c>
      <c r="AI51" s="28">
        <v>0</v>
      </c>
      <c r="AJ51" s="26" t="s">
        <v>103</v>
      </c>
      <c r="AK51" s="273" t="s">
        <v>156</v>
      </c>
      <c r="AL51" s="31">
        <v>0</v>
      </c>
      <c r="AM51" s="279" t="s">
        <v>156</v>
      </c>
      <c r="AN51" s="29">
        <v>0</v>
      </c>
      <c r="AO51" s="266" t="s">
        <v>103</v>
      </c>
      <c r="AP51" s="18" t="s">
        <v>156</v>
      </c>
      <c r="AQ51" s="18" t="s">
        <v>156</v>
      </c>
      <c r="AR51" s="30">
        <v>0</v>
      </c>
      <c r="AS51" s="26"/>
      <c r="AT51" s="19"/>
      <c r="AU51" s="14"/>
      <c r="AV51" s="40"/>
      <c r="AW51" s="14" t="str">
        <f>+E51&amp;" "&amp;K51&amp;" "&amp;" "&amp;Z51&amp;" "&amp;F51</f>
        <v>LOWENSTEIN001 A38024  n/d 4700066052</v>
      </c>
      <c r="AX51" s="14"/>
      <c r="AY51" s="14"/>
      <c r="AZ51" s="14"/>
      <c r="BA51" s="14"/>
      <c r="BB51" s="21"/>
      <c r="BD51" s="90">
        <f>+M51*$BD$1</f>
        <v>18721.5</v>
      </c>
      <c r="BE51" s="90">
        <f>+BD51*0.16</f>
        <v>2995.44</v>
      </c>
      <c r="BF51" s="90">
        <f>+BD51*0.008</f>
        <v>149.77199999999999</v>
      </c>
      <c r="BG51" s="89">
        <f>+BF51+BE51</f>
        <v>3145.212</v>
      </c>
    </row>
    <row r="52" spans="1:59" ht="14.45" customHeight="1" x14ac:dyDescent="0.25">
      <c r="A52" s="14"/>
      <c r="B52" s="234" t="s">
        <v>49</v>
      </c>
      <c r="C52" s="11" t="s">
        <v>127</v>
      </c>
      <c r="D52" s="18" t="s">
        <v>60</v>
      </c>
      <c r="E52" s="11" t="s">
        <v>306</v>
      </c>
      <c r="F52" s="141">
        <v>4700066126</v>
      </c>
      <c r="G52" s="14" t="s">
        <v>448</v>
      </c>
      <c r="H52" s="32" t="s">
        <v>123</v>
      </c>
      <c r="I52" s="32" t="s">
        <v>365</v>
      </c>
      <c r="J52" s="39"/>
      <c r="K52" s="11">
        <v>57906103</v>
      </c>
      <c r="L52" s="11" t="s">
        <v>292</v>
      </c>
      <c r="M52" s="12">
        <v>6770</v>
      </c>
      <c r="N52" s="11" t="s">
        <v>71</v>
      </c>
      <c r="O52" s="135">
        <v>45704</v>
      </c>
      <c r="P52" s="135">
        <v>45709</v>
      </c>
      <c r="Q52" s="11" t="s">
        <v>83</v>
      </c>
      <c r="R52" s="135" t="s">
        <v>99</v>
      </c>
      <c r="S52" s="172"/>
      <c r="T52" s="42" t="s">
        <v>159</v>
      </c>
      <c r="U52" s="38" t="s">
        <v>98</v>
      </c>
      <c r="V52" s="16">
        <v>0</v>
      </c>
      <c r="W52" s="17">
        <v>0</v>
      </c>
      <c r="X52" s="34">
        <f>V52+W52</f>
        <v>0</v>
      </c>
      <c r="Y52" s="51" t="s">
        <v>309</v>
      </c>
      <c r="Z52" s="51" t="s">
        <v>309</v>
      </c>
      <c r="AA52" s="192" t="s">
        <v>156</v>
      </c>
      <c r="AB52" s="261" t="s">
        <v>309</v>
      </c>
      <c r="AC52" s="23">
        <v>0</v>
      </c>
      <c r="AD52" s="24" t="s">
        <v>27</v>
      </c>
      <c r="AE52" s="273" t="s">
        <v>98</v>
      </c>
      <c r="AF52" s="25">
        <v>0</v>
      </c>
      <c r="AG52" s="22" t="s">
        <v>128</v>
      </c>
      <c r="AH52" s="273" t="s">
        <v>156</v>
      </c>
      <c r="AI52" s="28">
        <v>0</v>
      </c>
      <c r="AJ52" s="26" t="s">
        <v>103</v>
      </c>
      <c r="AK52" s="273" t="s">
        <v>156</v>
      </c>
      <c r="AL52" s="31">
        <v>0</v>
      </c>
      <c r="AM52" s="279" t="s">
        <v>156</v>
      </c>
      <c r="AN52" s="29">
        <v>0</v>
      </c>
      <c r="AO52" s="266" t="s">
        <v>103</v>
      </c>
      <c r="AP52" s="18" t="s">
        <v>156</v>
      </c>
      <c r="AQ52" s="18" t="s">
        <v>156</v>
      </c>
      <c r="AR52" s="30">
        <v>0</v>
      </c>
      <c r="AS52" s="26"/>
      <c r="AT52" s="19"/>
      <c r="AU52" s="14"/>
      <c r="AV52" s="40"/>
      <c r="AW52" s="14" t="str">
        <f>+E52&amp;" "&amp;K52&amp;" "&amp;" "&amp;Z52&amp;" "&amp;F52</f>
        <v>GIVAUDAN001 57906103  n/d 4700066126</v>
      </c>
      <c r="AX52" s="14"/>
      <c r="AY52" s="14"/>
      <c r="AZ52" s="14"/>
      <c r="BA52" s="14"/>
      <c r="BB52" s="21"/>
      <c r="BD52" s="90">
        <f>+M52*$BD$1</f>
        <v>142170</v>
      </c>
      <c r="BE52" s="90">
        <f>+BD52*0.16</f>
        <v>22747.200000000001</v>
      </c>
      <c r="BF52" s="90">
        <f>+BD52*0.008</f>
        <v>1137.3600000000001</v>
      </c>
      <c r="BG52" s="89">
        <f>+BF52+BE52</f>
        <v>23884.560000000001</v>
      </c>
    </row>
    <row r="53" spans="1:59" ht="14.45" customHeight="1" x14ac:dyDescent="0.25">
      <c r="A53" s="14"/>
      <c r="B53" s="234" t="s">
        <v>49</v>
      </c>
      <c r="C53" s="11" t="s">
        <v>127</v>
      </c>
      <c r="D53" s="18" t="s">
        <v>61</v>
      </c>
      <c r="E53" s="11" t="s">
        <v>475</v>
      </c>
      <c r="F53" s="141">
        <v>4700066596</v>
      </c>
      <c r="G53" s="14" t="s">
        <v>448</v>
      </c>
      <c r="H53" s="32" t="s">
        <v>123</v>
      </c>
      <c r="I53" s="32" t="s">
        <v>551</v>
      </c>
      <c r="J53" s="39"/>
      <c r="K53" s="11" t="s">
        <v>549</v>
      </c>
      <c r="L53" s="11" t="s">
        <v>292</v>
      </c>
      <c r="M53" s="12">
        <v>2175</v>
      </c>
      <c r="N53" s="11" t="s">
        <v>71</v>
      </c>
      <c r="O53" s="135">
        <v>45712</v>
      </c>
      <c r="P53" s="135" t="s">
        <v>99</v>
      </c>
      <c r="Q53" s="11" t="s">
        <v>87</v>
      </c>
      <c r="R53" s="135" t="s">
        <v>99</v>
      </c>
      <c r="S53" s="172" t="s">
        <v>550</v>
      </c>
      <c r="T53" s="42" t="s">
        <v>27</v>
      </c>
      <c r="U53" s="38" t="s">
        <v>98</v>
      </c>
      <c r="V53" s="16">
        <v>0</v>
      </c>
      <c r="W53" s="17">
        <v>0</v>
      </c>
      <c r="X53" s="34">
        <f t="shared" ref="X53" si="24">V53+W53</f>
        <v>0</v>
      </c>
      <c r="Y53" s="51" t="s">
        <v>309</v>
      </c>
      <c r="Z53" s="51" t="s">
        <v>309</v>
      </c>
      <c r="AA53" s="192" t="s">
        <v>156</v>
      </c>
      <c r="AB53" s="261" t="s">
        <v>309</v>
      </c>
      <c r="AC53" s="23">
        <v>0</v>
      </c>
      <c r="AD53" s="24" t="s">
        <v>27</v>
      </c>
      <c r="AE53" s="273" t="s">
        <v>98</v>
      </c>
      <c r="AF53" s="25">
        <v>0</v>
      </c>
      <c r="AG53" s="22" t="s">
        <v>128</v>
      </c>
      <c r="AH53" s="273" t="s">
        <v>156</v>
      </c>
      <c r="AI53" s="28">
        <v>0</v>
      </c>
      <c r="AJ53" s="26" t="s">
        <v>103</v>
      </c>
      <c r="AK53" s="273" t="s">
        <v>156</v>
      </c>
      <c r="AL53" s="31">
        <v>0</v>
      </c>
      <c r="AM53" s="279" t="s">
        <v>156</v>
      </c>
      <c r="AN53" s="29">
        <v>0</v>
      </c>
      <c r="AO53" s="266" t="s">
        <v>103</v>
      </c>
      <c r="AP53" s="18" t="s">
        <v>156</v>
      </c>
      <c r="AQ53" s="18" t="s">
        <v>156</v>
      </c>
      <c r="AR53" s="30">
        <v>0</v>
      </c>
      <c r="AS53" s="26"/>
      <c r="AT53" s="19"/>
      <c r="AU53" s="14"/>
      <c r="AV53" s="40"/>
      <c r="AW53" s="14" t="str">
        <f t="shared" ref="AW53" si="25">+E53&amp;" "&amp;K53&amp;" "&amp;" "&amp;Z53&amp;" "&amp;F53</f>
        <v>TELUCA001 000036T25  n/d 4700066596</v>
      </c>
      <c r="AX53" s="14"/>
      <c r="AY53" s="14"/>
      <c r="AZ53" s="14"/>
      <c r="BA53" s="14"/>
      <c r="BB53" s="21"/>
      <c r="BD53" s="90">
        <f t="shared" ref="BD53" si="26">+M53*$BD$1</f>
        <v>45675</v>
      </c>
      <c r="BE53" s="90">
        <f t="shared" ref="BE53" si="27">+BD53*0.16</f>
        <v>7308</v>
      </c>
      <c r="BF53" s="90">
        <f t="shared" ref="BF53" si="28">+BD53*0.008</f>
        <v>365.40000000000003</v>
      </c>
      <c r="BG53" s="89">
        <f t="shared" ref="BG53" si="29">+BF53+BE53</f>
        <v>7673.4</v>
      </c>
    </row>
    <row r="54" spans="1:59" ht="14.45" customHeight="1" x14ac:dyDescent="0.25">
      <c r="A54" s="14" t="s">
        <v>479</v>
      </c>
      <c r="B54" s="234" t="s">
        <v>49</v>
      </c>
      <c r="C54" s="11" t="s">
        <v>127</v>
      </c>
      <c r="D54" s="18" t="s">
        <v>61</v>
      </c>
      <c r="E54" s="11" t="s">
        <v>249</v>
      </c>
      <c r="F54" s="141" t="s">
        <v>304</v>
      </c>
      <c r="G54" s="14" t="s">
        <v>250</v>
      </c>
      <c r="H54" s="32" t="s">
        <v>123</v>
      </c>
      <c r="I54" s="32" t="s">
        <v>365</v>
      </c>
      <c r="J54" s="39"/>
      <c r="K54" s="11" t="s">
        <v>98</v>
      </c>
      <c r="L54" s="11" t="s">
        <v>292</v>
      </c>
      <c r="M54" s="12">
        <v>42000</v>
      </c>
      <c r="N54" s="11" t="s">
        <v>71</v>
      </c>
      <c r="O54" s="135" t="s">
        <v>309</v>
      </c>
      <c r="P54" s="135" t="s">
        <v>99</v>
      </c>
      <c r="Q54" s="11" t="s">
        <v>87</v>
      </c>
      <c r="R54" s="135" t="s">
        <v>99</v>
      </c>
      <c r="S54" s="172" t="s">
        <v>339</v>
      </c>
      <c r="T54" s="42" t="s">
        <v>251</v>
      </c>
      <c r="U54" s="38" t="s">
        <v>98</v>
      </c>
      <c r="V54" s="16">
        <v>0</v>
      </c>
      <c r="W54" s="17">
        <v>0</v>
      </c>
      <c r="X54" s="34">
        <f t="shared" si="16"/>
        <v>0</v>
      </c>
      <c r="Y54" s="51" t="s">
        <v>309</v>
      </c>
      <c r="Z54" s="51" t="s">
        <v>309</v>
      </c>
      <c r="AA54" s="192" t="s">
        <v>156</v>
      </c>
      <c r="AB54" s="261" t="s">
        <v>309</v>
      </c>
      <c r="AC54" s="23">
        <v>0</v>
      </c>
      <c r="AD54" s="24" t="s">
        <v>27</v>
      </c>
      <c r="AE54" s="273" t="s">
        <v>98</v>
      </c>
      <c r="AF54" s="25">
        <v>0</v>
      </c>
      <c r="AG54" s="22" t="s">
        <v>128</v>
      </c>
      <c r="AH54" s="273" t="s">
        <v>156</v>
      </c>
      <c r="AI54" s="28">
        <v>0</v>
      </c>
      <c r="AJ54" s="26" t="s">
        <v>103</v>
      </c>
      <c r="AK54" s="273" t="s">
        <v>156</v>
      </c>
      <c r="AL54" s="31">
        <v>0</v>
      </c>
      <c r="AM54" s="279" t="s">
        <v>156</v>
      </c>
      <c r="AN54" s="29">
        <v>0</v>
      </c>
      <c r="AO54" s="266" t="s">
        <v>103</v>
      </c>
      <c r="AP54" s="18" t="s">
        <v>156</v>
      </c>
      <c r="AQ54" s="18" t="s">
        <v>156</v>
      </c>
      <c r="AR54" s="30">
        <v>0</v>
      </c>
      <c r="AS54" s="26"/>
      <c r="AT54" s="19"/>
      <c r="AU54" s="14"/>
      <c r="AV54" s="40"/>
      <c r="AW54" s="14" t="str">
        <f t="shared" si="23"/>
        <v>PLASTUBE001 PENDIENTE  n/d 4700065067, 4700065069, 4700065071</v>
      </c>
      <c r="AX54" s="14"/>
      <c r="AY54" s="14"/>
      <c r="AZ54" s="14"/>
      <c r="BA54" s="14"/>
      <c r="BB54" s="21"/>
      <c r="BD54" s="90">
        <f t="shared" si="8"/>
        <v>882000</v>
      </c>
      <c r="BE54" s="90">
        <f t="shared" si="9"/>
        <v>141120</v>
      </c>
      <c r="BF54" s="90">
        <f t="shared" si="10"/>
        <v>7056</v>
      </c>
      <c r="BG54" s="89">
        <f t="shared" si="11"/>
        <v>148176</v>
      </c>
    </row>
    <row r="55" spans="1:59" ht="14.45" customHeight="1" x14ac:dyDescent="0.25">
      <c r="A55" s="14" t="s">
        <v>478</v>
      </c>
      <c r="B55" s="234" t="s">
        <v>49</v>
      </c>
      <c r="C55" s="11" t="s">
        <v>127</v>
      </c>
      <c r="D55" s="18" t="s">
        <v>60</v>
      </c>
      <c r="E55" s="11" t="s">
        <v>477</v>
      </c>
      <c r="F55" s="141">
        <v>4700065951</v>
      </c>
      <c r="G55" s="14" t="s">
        <v>448</v>
      </c>
      <c r="H55" s="32" t="s">
        <v>123</v>
      </c>
      <c r="I55" s="32" t="s">
        <v>365</v>
      </c>
      <c r="J55" s="39"/>
      <c r="K55" s="11">
        <v>57906103</v>
      </c>
      <c r="L55" s="11" t="s">
        <v>292</v>
      </c>
      <c r="M55" s="12">
        <v>6770</v>
      </c>
      <c r="N55" s="11" t="s">
        <v>71</v>
      </c>
      <c r="O55" s="135" t="s">
        <v>309</v>
      </c>
      <c r="P55" s="135" t="s">
        <v>99</v>
      </c>
      <c r="Q55" s="11" t="s">
        <v>86</v>
      </c>
      <c r="R55" s="135" t="s">
        <v>99</v>
      </c>
      <c r="S55" s="172"/>
      <c r="T55" s="42" t="s">
        <v>159</v>
      </c>
      <c r="U55" s="38" t="s">
        <v>98</v>
      </c>
      <c r="V55" s="16">
        <v>0</v>
      </c>
      <c r="W55" s="17">
        <v>0</v>
      </c>
      <c r="X55" s="34">
        <f t="shared" ref="X55:X79" si="30">V55+W55</f>
        <v>0</v>
      </c>
      <c r="Y55" s="51" t="s">
        <v>309</v>
      </c>
      <c r="Z55" s="51" t="s">
        <v>309</v>
      </c>
      <c r="AA55" s="192" t="s">
        <v>156</v>
      </c>
      <c r="AB55" s="261" t="s">
        <v>309</v>
      </c>
      <c r="AC55" s="23">
        <v>0</v>
      </c>
      <c r="AD55" s="24" t="s">
        <v>27</v>
      </c>
      <c r="AE55" s="273" t="s">
        <v>98</v>
      </c>
      <c r="AF55" s="25">
        <v>0</v>
      </c>
      <c r="AG55" s="22" t="s">
        <v>128</v>
      </c>
      <c r="AH55" s="273" t="s">
        <v>156</v>
      </c>
      <c r="AI55" s="28">
        <v>0</v>
      </c>
      <c r="AJ55" s="26" t="s">
        <v>103</v>
      </c>
      <c r="AK55" s="273" t="s">
        <v>156</v>
      </c>
      <c r="AL55" s="31">
        <v>0</v>
      </c>
      <c r="AM55" s="279" t="s">
        <v>156</v>
      </c>
      <c r="AN55" s="29">
        <v>0</v>
      </c>
      <c r="AO55" s="266" t="s">
        <v>103</v>
      </c>
      <c r="AP55" s="18" t="s">
        <v>156</v>
      </c>
      <c r="AQ55" s="18" t="s">
        <v>156</v>
      </c>
      <c r="AR55" s="30">
        <v>0</v>
      </c>
      <c r="AS55" s="26"/>
      <c r="AT55" s="19"/>
      <c r="AU55" s="14"/>
      <c r="AV55" s="40"/>
      <c r="AW55" s="14" t="str">
        <f t="shared" ref="AW55:AW79" si="31">+E55&amp;" "&amp;K55&amp;" "&amp;" "&amp;Z55&amp;" "&amp;F55</f>
        <v>GIVAUDAN002 57906103  n/d 4700065951</v>
      </c>
      <c r="AX55" s="14"/>
      <c r="AY55" s="14"/>
      <c r="AZ55" s="14"/>
      <c r="BA55" s="14"/>
      <c r="BB55" s="21"/>
      <c r="BD55" s="90">
        <f t="shared" ref="BD55:BD79" si="32">+M55*$BD$1</f>
        <v>142170</v>
      </c>
      <c r="BE55" s="90">
        <f t="shared" ref="BE55:BE79" si="33">+BD55*0.16</f>
        <v>22747.200000000001</v>
      </c>
      <c r="BF55" s="90">
        <f>+BD55*0.008</f>
        <v>1137.3600000000001</v>
      </c>
      <c r="BG55" s="89">
        <f t="shared" ref="BG55:BG74" si="34">+BF55+BE55</f>
        <v>23884.560000000001</v>
      </c>
    </row>
    <row r="56" spans="1:59" ht="14.45" customHeight="1" x14ac:dyDescent="0.25">
      <c r="A56" s="14"/>
      <c r="B56" s="234" t="s">
        <v>49</v>
      </c>
      <c r="C56" s="11" t="s">
        <v>65</v>
      </c>
      <c r="D56" s="18" t="s">
        <v>60</v>
      </c>
      <c r="E56" s="11" t="s">
        <v>375</v>
      </c>
      <c r="F56" s="11">
        <v>4700065401</v>
      </c>
      <c r="G56" s="11" t="s">
        <v>376</v>
      </c>
      <c r="H56" s="32" t="s">
        <v>124</v>
      </c>
      <c r="I56" s="32" t="s">
        <v>365</v>
      </c>
      <c r="J56" s="39" t="s">
        <v>409</v>
      </c>
      <c r="K56" s="11">
        <v>1</v>
      </c>
      <c r="L56" s="11" t="s">
        <v>377</v>
      </c>
      <c r="M56" s="12">
        <v>47040</v>
      </c>
      <c r="N56" s="11" t="s">
        <v>72</v>
      </c>
      <c r="O56" s="135">
        <v>45646</v>
      </c>
      <c r="P56" s="135">
        <v>45691</v>
      </c>
      <c r="Q56" s="11" t="s">
        <v>73</v>
      </c>
      <c r="R56" s="135">
        <v>45694</v>
      </c>
      <c r="S56" s="11"/>
      <c r="T56" s="15" t="s">
        <v>34</v>
      </c>
      <c r="U56" s="38" t="s">
        <v>156</v>
      </c>
      <c r="V56" s="16">
        <v>0</v>
      </c>
      <c r="W56" s="17">
        <v>0</v>
      </c>
      <c r="X56" s="34">
        <f t="shared" si="30"/>
        <v>0</v>
      </c>
      <c r="Y56" s="51">
        <v>3921</v>
      </c>
      <c r="Z56" s="51">
        <v>5002359</v>
      </c>
      <c r="AA56" s="192" t="s">
        <v>156</v>
      </c>
      <c r="AB56" s="261">
        <v>45693</v>
      </c>
      <c r="AC56" s="23">
        <v>996055</v>
      </c>
      <c r="AD56" s="24" t="s">
        <v>90</v>
      </c>
      <c r="AE56" s="273" t="s">
        <v>98</v>
      </c>
      <c r="AF56" s="25">
        <v>0</v>
      </c>
      <c r="AG56" s="22" t="s">
        <v>128</v>
      </c>
      <c r="AH56" s="273" t="s">
        <v>156</v>
      </c>
      <c r="AI56" s="28">
        <v>0</v>
      </c>
      <c r="AJ56" s="27" t="s">
        <v>118</v>
      </c>
      <c r="AK56" s="279">
        <v>10812</v>
      </c>
      <c r="AL56" s="31">
        <v>8810</v>
      </c>
      <c r="AM56" s="279" t="s">
        <v>156</v>
      </c>
      <c r="AN56" s="29">
        <v>0</v>
      </c>
      <c r="AO56" s="266" t="s">
        <v>103</v>
      </c>
      <c r="AP56" s="18" t="s">
        <v>156</v>
      </c>
      <c r="AQ56" s="18" t="s">
        <v>156</v>
      </c>
      <c r="AR56" s="30">
        <v>0</v>
      </c>
      <c r="AS56" s="26"/>
      <c r="AT56" s="19"/>
      <c r="AU56" s="14"/>
      <c r="AV56" s="40">
        <v>45706</v>
      </c>
      <c r="AW56" s="14" t="str">
        <f t="shared" si="31"/>
        <v>COMETECH001 1  5002359 4700065401</v>
      </c>
      <c r="AX56" s="14"/>
      <c r="AY56" s="14"/>
      <c r="AZ56" s="14"/>
      <c r="BA56" s="14"/>
      <c r="BB56" s="21"/>
      <c r="BD56" s="90">
        <f t="shared" si="32"/>
        <v>987840</v>
      </c>
      <c r="BE56" s="90">
        <f t="shared" si="33"/>
        <v>158054.39999999999</v>
      </c>
      <c r="BF56" s="90">
        <f>+BD56*0.008</f>
        <v>7902.72</v>
      </c>
      <c r="BG56" s="89">
        <f t="shared" si="34"/>
        <v>165957.12</v>
      </c>
    </row>
    <row r="57" spans="1:59" ht="15" customHeight="1" x14ac:dyDescent="0.25">
      <c r="A57" s="14"/>
      <c r="B57" s="234" t="s">
        <v>49</v>
      </c>
      <c r="C57" s="59" t="s">
        <v>65</v>
      </c>
      <c r="D57" s="18" t="s">
        <v>97</v>
      </c>
      <c r="E57" s="11" t="s">
        <v>276</v>
      </c>
      <c r="F57" s="59" t="s">
        <v>157</v>
      </c>
      <c r="G57" s="11" t="s">
        <v>116</v>
      </c>
      <c r="H57" s="32" t="s">
        <v>121</v>
      </c>
      <c r="I57" s="32" t="s">
        <v>365</v>
      </c>
      <c r="J57" s="39" t="s">
        <v>327</v>
      </c>
      <c r="K57" s="59">
        <v>10000054</v>
      </c>
      <c r="L57" s="59" t="s">
        <v>291</v>
      </c>
      <c r="M57" s="60">
        <v>164146.66</v>
      </c>
      <c r="N57" s="11" t="s">
        <v>71</v>
      </c>
      <c r="O57" s="134">
        <v>45672</v>
      </c>
      <c r="P57" s="135">
        <v>45698</v>
      </c>
      <c r="Q57" s="11" t="s">
        <v>73</v>
      </c>
      <c r="R57" s="135">
        <v>45706</v>
      </c>
      <c r="S57" s="11"/>
      <c r="T57" s="15" t="s">
        <v>34</v>
      </c>
      <c r="U57" s="38" t="s">
        <v>156</v>
      </c>
      <c r="V57" s="16">
        <v>0</v>
      </c>
      <c r="W57" s="17">
        <v>0</v>
      </c>
      <c r="X57" s="34">
        <f t="shared" si="30"/>
        <v>0</v>
      </c>
      <c r="Y57" s="51">
        <v>3921</v>
      </c>
      <c r="Z57" s="51">
        <v>5002078</v>
      </c>
      <c r="AA57" s="192" t="s">
        <v>156</v>
      </c>
      <c r="AB57" s="261">
        <v>45702</v>
      </c>
      <c r="AC57" s="23">
        <v>3244378</v>
      </c>
      <c r="AD57" s="24" t="s">
        <v>90</v>
      </c>
      <c r="AE57" s="273" t="s">
        <v>98</v>
      </c>
      <c r="AF57" s="25">
        <v>0</v>
      </c>
      <c r="AG57" s="22" t="s">
        <v>128</v>
      </c>
      <c r="AH57" s="273" t="s">
        <v>156</v>
      </c>
      <c r="AI57" s="28">
        <v>0</v>
      </c>
      <c r="AJ57" s="27" t="s">
        <v>118</v>
      </c>
      <c r="AK57" s="279" t="s">
        <v>98</v>
      </c>
      <c r="AL57" s="31">
        <v>0</v>
      </c>
      <c r="AM57" s="279" t="s">
        <v>547</v>
      </c>
      <c r="AN57" s="270">
        <v>84354.2</v>
      </c>
      <c r="AO57" s="266" t="s">
        <v>103</v>
      </c>
      <c r="AP57" s="18" t="s">
        <v>156</v>
      </c>
      <c r="AQ57" s="18" t="s">
        <v>156</v>
      </c>
      <c r="AR57" s="30">
        <v>0</v>
      </c>
      <c r="AS57" s="26"/>
      <c r="AT57" s="19"/>
      <c r="AU57" s="14"/>
      <c r="AV57" s="40">
        <v>45706</v>
      </c>
      <c r="AW57" s="14" t="str">
        <f t="shared" si="31"/>
        <v>B&amp;BPF001 10000054  5002078 N/D</v>
      </c>
      <c r="AX57" s="14"/>
      <c r="AY57" s="14"/>
      <c r="AZ57" s="14"/>
      <c r="BA57" s="14"/>
      <c r="BB57" s="21" t="str">
        <f t="shared" ref="BB57:BB62" si="35">+F57</f>
        <v>N/D</v>
      </c>
      <c r="BD57" s="90">
        <f t="shared" si="32"/>
        <v>3447079.86</v>
      </c>
      <c r="BE57" s="90">
        <f t="shared" si="33"/>
        <v>551532.77760000003</v>
      </c>
      <c r="BF57" s="90">
        <f>+BD57*0.008</f>
        <v>27576.638879999999</v>
      </c>
      <c r="BG57" s="89">
        <f t="shared" si="34"/>
        <v>579109.41648000001</v>
      </c>
    </row>
    <row r="58" spans="1:59" ht="14.45" customHeight="1" x14ac:dyDescent="0.25">
      <c r="A58" s="14" t="s">
        <v>556</v>
      </c>
      <c r="B58" s="234" t="s">
        <v>49</v>
      </c>
      <c r="C58" s="11" t="s">
        <v>65</v>
      </c>
      <c r="D58" s="18" t="s">
        <v>60</v>
      </c>
      <c r="E58" s="11" t="s">
        <v>269</v>
      </c>
      <c r="F58" s="11">
        <v>4700065458</v>
      </c>
      <c r="G58" s="11" t="s">
        <v>115</v>
      </c>
      <c r="H58" s="32" t="s">
        <v>121</v>
      </c>
      <c r="I58" s="32" t="s">
        <v>365</v>
      </c>
      <c r="J58" s="11" t="s">
        <v>412</v>
      </c>
      <c r="K58" s="11" t="s">
        <v>328</v>
      </c>
      <c r="L58" s="11" t="s">
        <v>292</v>
      </c>
      <c r="M58" s="12">
        <v>51800</v>
      </c>
      <c r="N58" s="11" t="s">
        <v>72</v>
      </c>
      <c r="O58" s="135">
        <v>45682</v>
      </c>
      <c r="P58" s="135">
        <v>45706</v>
      </c>
      <c r="Q58" s="11" t="s">
        <v>73</v>
      </c>
      <c r="R58" s="135">
        <v>45712</v>
      </c>
      <c r="S58" s="11"/>
      <c r="T58" s="15" t="s">
        <v>146</v>
      </c>
      <c r="U58" s="38" t="s">
        <v>98</v>
      </c>
      <c r="V58" s="16">
        <v>0</v>
      </c>
      <c r="W58" s="17">
        <v>0</v>
      </c>
      <c r="X58" s="34">
        <f t="shared" si="30"/>
        <v>0</v>
      </c>
      <c r="Y58" s="51">
        <v>3921</v>
      </c>
      <c r="Z58" s="192">
        <v>5002529</v>
      </c>
      <c r="AA58" s="192">
        <v>5002529</v>
      </c>
      <c r="AB58" s="261">
        <v>45708</v>
      </c>
      <c r="AC58" s="23">
        <v>1103726</v>
      </c>
      <c r="AD58" s="24" t="s">
        <v>90</v>
      </c>
      <c r="AE58" s="273" t="s">
        <v>98</v>
      </c>
      <c r="AF58" s="25">
        <v>0</v>
      </c>
      <c r="AG58" s="22" t="s">
        <v>128</v>
      </c>
      <c r="AH58" s="273" t="s">
        <v>156</v>
      </c>
      <c r="AI58" s="28">
        <v>0</v>
      </c>
      <c r="AJ58" s="27" t="s">
        <v>118</v>
      </c>
      <c r="AK58" s="279" t="s">
        <v>98</v>
      </c>
      <c r="AL58" s="31">
        <v>0</v>
      </c>
      <c r="AM58" s="279" t="s">
        <v>156</v>
      </c>
      <c r="AN58" s="29">
        <v>0</v>
      </c>
      <c r="AO58" s="266" t="s">
        <v>103</v>
      </c>
      <c r="AP58" s="18" t="s">
        <v>156</v>
      </c>
      <c r="AQ58" s="18" t="s">
        <v>156</v>
      </c>
      <c r="AR58" s="30">
        <v>0</v>
      </c>
      <c r="AS58" s="26"/>
      <c r="AT58" s="19"/>
      <c r="AU58" s="14"/>
      <c r="AV58" s="40"/>
      <c r="AW58" s="14" t="str">
        <f t="shared" si="31"/>
        <v>ERCA001 V2-40   5002529 4700065458</v>
      </c>
      <c r="AX58" s="14"/>
      <c r="AY58" s="14"/>
      <c r="AZ58" s="14"/>
      <c r="BA58" s="14"/>
      <c r="BB58" s="21">
        <f t="shared" si="35"/>
        <v>4700065458</v>
      </c>
      <c r="BD58" s="90">
        <f t="shared" si="32"/>
        <v>1087800</v>
      </c>
      <c r="BE58" s="90">
        <f t="shared" si="33"/>
        <v>174048</v>
      </c>
      <c r="BF58" s="90">
        <f>+BD58*0.0058</f>
        <v>6309.24</v>
      </c>
      <c r="BG58" s="89">
        <f t="shared" si="34"/>
        <v>180357.24</v>
      </c>
    </row>
    <row r="59" spans="1:59" ht="14.45" customHeight="1" x14ac:dyDescent="0.25">
      <c r="A59" s="14"/>
      <c r="B59" s="234" t="s">
        <v>49</v>
      </c>
      <c r="C59" s="11" t="s">
        <v>65</v>
      </c>
      <c r="D59" s="18" t="s">
        <v>61</v>
      </c>
      <c r="E59" s="11" t="s">
        <v>235</v>
      </c>
      <c r="F59" s="11">
        <v>4700063014</v>
      </c>
      <c r="G59" s="11" t="s">
        <v>120</v>
      </c>
      <c r="H59" s="32" t="s">
        <v>121</v>
      </c>
      <c r="I59" s="32" t="s">
        <v>365</v>
      </c>
      <c r="J59" s="39" t="s">
        <v>236</v>
      </c>
      <c r="K59" s="11">
        <v>43777</v>
      </c>
      <c r="L59" s="11" t="s">
        <v>291</v>
      </c>
      <c r="M59" s="12">
        <v>28447.4</v>
      </c>
      <c r="N59" s="11" t="s">
        <v>71</v>
      </c>
      <c r="O59" s="135">
        <v>45660</v>
      </c>
      <c r="P59" s="135">
        <v>45695</v>
      </c>
      <c r="Q59" s="11" t="s">
        <v>73</v>
      </c>
      <c r="R59" s="135">
        <v>45707</v>
      </c>
      <c r="S59" s="11"/>
      <c r="T59" s="15" t="s">
        <v>34</v>
      </c>
      <c r="U59" s="38" t="s">
        <v>156</v>
      </c>
      <c r="V59" s="16">
        <v>0</v>
      </c>
      <c r="W59" s="17">
        <v>0</v>
      </c>
      <c r="X59" s="34">
        <f t="shared" si="30"/>
        <v>0</v>
      </c>
      <c r="Y59" s="51">
        <v>3921</v>
      </c>
      <c r="Z59" s="51">
        <v>5000593</v>
      </c>
      <c r="AA59" s="192" t="s">
        <v>156</v>
      </c>
      <c r="AB59" s="261">
        <v>45705</v>
      </c>
      <c r="AC59" s="23">
        <v>484879</v>
      </c>
      <c r="AD59" s="24" t="s">
        <v>90</v>
      </c>
      <c r="AE59" s="273" t="s">
        <v>98</v>
      </c>
      <c r="AF59" s="25">
        <v>0</v>
      </c>
      <c r="AG59" s="22" t="s">
        <v>128</v>
      </c>
      <c r="AH59" s="273" t="s">
        <v>156</v>
      </c>
      <c r="AI59" s="28">
        <v>0</v>
      </c>
      <c r="AJ59" s="27" t="s">
        <v>118</v>
      </c>
      <c r="AK59" s="279" t="s">
        <v>98</v>
      </c>
      <c r="AL59" s="31">
        <v>0</v>
      </c>
      <c r="AM59" s="279" t="s">
        <v>156</v>
      </c>
      <c r="AN59" s="29">
        <v>0</v>
      </c>
      <c r="AO59" s="266" t="s">
        <v>103</v>
      </c>
      <c r="AP59" s="18" t="s">
        <v>156</v>
      </c>
      <c r="AQ59" s="18" t="s">
        <v>156</v>
      </c>
      <c r="AR59" s="30">
        <v>0</v>
      </c>
      <c r="AS59" s="26"/>
      <c r="AT59" s="19"/>
      <c r="AU59" s="14"/>
      <c r="AV59" s="40"/>
      <c r="AW59" s="14" t="str">
        <f t="shared" si="31"/>
        <v>SAVIRAM002  43777  5000593 4700063014</v>
      </c>
      <c r="AX59" s="14"/>
      <c r="AY59" s="14"/>
      <c r="AZ59" s="14"/>
      <c r="BA59" s="14"/>
      <c r="BB59" s="21">
        <f t="shared" si="35"/>
        <v>4700063014</v>
      </c>
      <c r="BD59" s="90">
        <f t="shared" si="32"/>
        <v>597395.4</v>
      </c>
      <c r="BE59" s="90">
        <f t="shared" si="33"/>
        <v>95583.26400000001</v>
      </c>
      <c r="BF59" s="90">
        <f>+BD59*0.158</f>
        <v>94388.473200000008</v>
      </c>
      <c r="BG59" s="89">
        <f t="shared" si="34"/>
        <v>189971.73720000003</v>
      </c>
    </row>
    <row r="60" spans="1:59" ht="14.45" customHeight="1" x14ac:dyDescent="0.25">
      <c r="A60" s="14"/>
      <c r="B60" s="234" t="s">
        <v>49</v>
      </c>
      <c r="C60" s="11" t="s">
        <v>65</v>
      </c>
      <c r="D60" s="18" t="s">
        <v>61</v>
      </c>
      <c r="E60" s="11" t="s">
        <v>237</v>
      </c>
      <c r="F60" s="11">
        <v>4700062436</v>
      </c>
      <c r="G60" s="11" t="s">
        <v>120</v>
      </c>
      <c r="H60" s="32" t="s">
        <v>121</v>
      </c>
      <c r="I60" s="32" t="s">
        <v>365</v>
      </c>
      <c r="J60" s="39" t="s">
        <v>238</v>
      </c>
      <c r="K60" s="11">
        <v>43781</v>
      </c>
      <c r="L60" s="11" t="s">
        <v>291</v>
      </c>
      <c r="M60" s="12">
        <v>22323.27</v>
      </c>
      <c r="N60" s="11" t="s">
        <v>71</v>
      </c>
      <c r="O60" s="135">
        <v>45660</v>
      </c>
      <c r="P60" s="135">
        <v>45695</v>
      </c>
      <c r="Q60" s="11" t="s">
        <v>73</v>
      </c>
      <c r="R60" s="135">
        <v>45710</v>
      </c>
      <c r="S60" s="11"/>
      <c r="T60" s="15" t="s">
        <v>34</v>
      </c>
      <c r="U60" s="38" t="s">
        <v>156</v>
      </c>
      <c r="V60" s="16">
        <v>0</v>
      </c>
      <c r="W60" s="17">
        <v>0</v>
      </c>
      <c r="X60" s="34">
        <f t="shared" si="30"/>
        <v>0</v>
      </c>
      <c r="Y60" s="51">
        <v>3921</v>
      </c>
      <c r="Z60" s="51">
        <v>5000594</v>
      </c>
      <c r="AA60" s="192"/>
      <c r="AB60" s="261">
        <v>45707</v>
      </c>
      <c r="AC60" s="23">
        <v>358498</v>
      </c>
      <c r="AD60" s="24" t="s">
        <v>90</v>
      </c>
      <c r="AE60" s="273" t="s">
        <v>98</v>
      </c>
      <c r="AF60" s="25">
        <v>0</v>
      </c>
      <c r="AG60" s="22" t="s">
        <v>128</v>
      </c>
      <c r="AH60" s="273" t="s">
        <v>156</v>
      </c>
      <c r="AI60" s="28">
        <v>0</v>
      </c>
      <c r="AJ60" s="27" t="s">
        <v>118</v>
      </c>
      <c r="AK60" s="279" t="s">
        <v>98</v>
      </c>
      <c r="AL60" s="31">
        <v>0</v>
      </c>
      <c r="AM60" s="279" t="s">
        <v>156</v>
      </c>
      <c r="AN60" s="29">
        <v>0</v>
      </c>
      <c r="AO60" s="266" t="s">
        <v>103</v>
      </c>
      <c r="AP60" s="18" t="s">
        <v>156</v>
      </c>
      <c r="AQ60" s="18" t="s">
        <v>156</v>
      </c>
      <c r="AR60" s="30">
        <v>0</v>
      </c>
      <c r="AS60" s="26"/>
      <c r="AT60" s="19"/>
      <c r="AU60" s="14"/>
      <c r="AV60" s="40"/>
      <c r="AW60" s="14" t="str">
        <f t="shared" si="31"/>
        <v>SAVIRAM003 43781  5000594 4700062436</v>
      </c>
      <c r="AX60" s="14"/>
      <c r="AY60" s="14"/>
      <c r="AZ60" s="14"/>
      <c r="BA60" s="14"/>
      <c r="BB60" s="21">
        <f t="shared" si="35"/>
        <v>4700062436</v>
      </c>
      <c r="BD60" s="90">
        <f t="shared" si="32"/>
        <v>468788.67</v>
      </c>
      <c r="BE60" s="90">
        <f t="shared" si="33"/>
        <v>75006.1872</v>
      </c>
      <c r="BF60" s="90">
        <f>+BD60*0.158</f>
        <v>74068.609859999997</v>
      </c>
      <c r="BG60" s="89">
        <f t="shared" si="34"/>
        <v>149074.79706000001</v>
      </c>
    </row>
    <row r="61" spans="1:59" ht="14.45" customHeight="1" x14ac:dyDescent="0.25">
      <c r="A61" s="14"/>
      <c r="B61" s="234" t="s">
        <v>49</v>
      </c>
      <c r="C61" s="11" t="s">
        <v>65</v>
      </c>
      <c r="D61" s="18" t="s">
        <v>97</v>
      </c>
      <c r="E61" s="11" t="s">
        <v>325</v>
      </c>
      <c r="F61" s="11" t="s">
        <v>157</v>
      </c>
      <c r="G61" s="11" t="s">
        <v>116</v>
      </c>
      <c r="H61" s="32" t="s">
        <v>121</v>
      </c>
      <c r="I61" s="32" t="s">
        <v>365</v>
      </c>
      <c r="J61" s="39" t="s">
        <v>451</v>
      </c>
      <c r="K61" s="11">
        <v>10000595</v>
      </c>
      <c r="L61" s="11" t="s">
        <v>291</v>
      </c>
      <c r="M61" s="12">
        <v>188284.67</v>
      </c>
      <c r="N61" s="11" t="s">
        <v>71</v>
      </c>
      <c r="O61" s="135">
        <v>45679</v>
      </c>
      <c r="P61" s="135">
        <v>45713</v>
      </c>
      <c r="Q61" s="11" t="s">
        <v>76</v>
      </c>
      <c r="R61" s="135" t="s">
        <v>99</v>
      </c>
      <c r="S61" s="11" t="s">
        <v>560</v>
      </c>
      <c r="T61" s="15" t="s">
        <v>34</v>
      </c>
      <c r="U61" s="38" t="s">
        <v>156</v>
      </c>
      <c r="V61" s="16">
        <v>0</v>
      </c>
      <c r="W61" s="17">
        <v>0</v>
      </c>
      <c r="X61" s="34">
        <f t="shared" si="30"/>
        <v>0</v>
      </c>
      <c r="Y61" s="51" t="s">
        <v>309</v>
      </c>
      <c r="Z61" s="51" t="s">
        <v>309</v>
      </c>
      <c r="AA61" s="192" t="s">
        <v>156</v>
      </c>
      <c r="AB61" s="261" t="s">
        <v>309</v>
      </c>
      <c r="AC61" s="23">
        <v>0</v>
      </c>
      <c r="AD61" s="24" t="s">
        <v>90</v>
      </c>
      <c r="AE61" s="273" t="s">
        <v>98</v>
      </c>
      <c r="AF61" s="25">
        <v>0</v>
      </c>
      <c r="AG61" s="22" t="s">
        <v>128</v>
      </c>
      <c r="AH61" s="273" t="s">
        <v>156</v>
      </c>
      <c r="AI61" s="28">
        <v>0</v>
      </c>
      <c r="AJ61" s="27" t="s">
        <v>118</v>
      </c>
      <c r="AK61" s="279" t="s">
        <v>98</v>
      </c>
      <c r="AL61" s="31">
        <v>0</v>
      </c>
      <c r="AM61" s="279" t="s">
        <v>156</v>
      </c>
      <c r="AN61" s="29">
        <v>0</v>
      </c>
      <c r="AO61" s="266" t="s">
        <v>103</v>
      </c>
      <c r="AP61" s="18" t="s">
        <v>156</v>
      </c>
      <c r="AQ61" s="18" t="s">
        <v>156</v>
      </c>
      <c r="AR61" s="30">
        <v>0</v>
      </c>
      <c r="AS61" s="26"/>
      <c r="AT61" s="19"/>
      <c r="AU61" s="14"/>
      <c r="AV61" s="40"/>
      <c r="AW61" s="14" t="str">
        <f t="shared" si="31"/>
        <v>B&amp;BPF002 10000595  n/d N/D</v>
      </c>
      <c r="AX61" s="14"/>
      <c r="AY61" s="14"/>
      <c r="AZ61" s="14"/>
      <c r="BA61" s="14"/>
      <c r="BB61" s="21" t="str">
        <f t="shared" si="35"/>
        <v>N/D</v>
      </c>
      <c r="BD61" s="90">
        <f t="shared" si="32"/>
        <v>3953978.0700000003</v>
      </c>
      <c r="BE61" s="90">
        <f t="shared" si="33"/>
        <v>632636.49120000005</v>
      </c>
      <c r="BF61" s="90">
        <f>+BD61*0.008</f>
        <v>31631.824560000005</v>
      </c>
      <c r="BG61" s="89">
        <f t="shared" si="34"/>
        <v>664268.31576000003</v>
      </c>
    </row>
    <row r="62" spans="1:59" ht="15" customHeight="1" x14ac:dyDescent="0.25">
      <c r="A62" s="14"/>
      <c r="B62" s="234" t="s">
        <v>49</v>
      </c>
      <c r="C62" s="59" t="s">
        <v>65</v>
      </c>
      <c r="D62" s="18" t="s">
        <v>60</v>
      </c>
      <c r="E62" s="11" t="s">
        <v>295</v>
      </c>
      <c r="F62" s="59">
        <v>4700064427</v>
      </c>
      <c r="G62" s="11" t="s">
        <v>296</v>
      </c>
      <c r="H62" s="32" t="s">
        <v>168</v>
      </c>
      <c r="I62" s="32" t="s">
        <v>365</v>
      </c>
      <c r="J62" s="11" t="s">
        <v>452</v>
      </c>
      <c r="K62" s="59" t="s">
        <v>297</v>
      </c>
      <c r="L62" s="59" t="s">
        <v>292</v>
      </c>
      <c r="M62" s="60">
        <v>15424</v>
      </c>
      <c r="N62" s="11" t="s">
        <v>72</v>
      </c>
      <c r="O62" s="134">
        <v>45680</v>
      </c>
      <c r="P62" s="134">
        <v>45711</v>
      </c>
      <c r="Q62" s="11" t="s">
        <v>76</v>
      </c>
      <c r="R62" s="134" t="s">
        <v>99</v>
      </c>
      <c r="S62" s="91"/>
      <c r="T62" s="15" t="s">
        <v>144</v>
      </c>
      <c r="U62" s="38" t="s">
        <v>98</v>
      </c>
      <c r="V62" s="16">
        <v>0</v>
      </c>
      <c r="W62" s="17">
        <v>0</v>
      </c>
      <c r="X62" s="34">
        <f t="shared" si="30"/>
        <v>0</v>
      </c>
      <c r="Y62" s="51" t="s">
        <v>309</v>
      </c>
      <c r="Z62" s="51" t="s">
        <v>309</v>
      </c>
      <c r="AA62" s="192" t="s">
        <v>156</v>
      </c>
      <c r="AB62" s="261" t="s">
        <v>309</v>
      </c>
      <c r="AC62" s="23">
        <v>0</v>
      </c>
      <c r="AD62" s="24" t="s">
        <v>90</v>
      </c>
      <c r="AE62" s="273" t="s">
        <v>98</v>
      </c>
      <c r="AF62" s="25">
        <v>0</v>
      </c>
      <c r="AG62" s="22" t="s">
        <v>128</v>
      </c>
      <c r="AH62" s="273" t="s">
        <v>156</v>
      </c>
      <c r="AI62" s="28">
        <v>0</v>
      </c>
      <c r="AJ62" s="27" t="s">
        <v>118</v>
      </c>
      <c r="AK62" s="279" t="s">
        <v>98</v>
      </c>
      <c r="AL62" s="31">
        <v>0</v>
      </c>
      <c r="AM62" s="279" t="s">
        <v>156</v>
      </c>
      <c r="AN62" s="29">
        <v>0</v>
      </c>
      <c r="AO62" s="266" t="s">
        <v>103</v>
      </c>
      <c r="AP62" s="18" t="s">
        <v>156</v>
      </c>
      <c r="AQ62" s="18" t="s">
        <v>156</v>
      </c>
      <c r="AR62" s="30">
        <v>0</v>
      </c>
      <c r="AS62" s="26"/>
      <c r="AT62" s="19"/>
      <c r="AU62" s="14"/>
      <c r="AV62" s="40"/>
      <c r="AW62" s="14" t="str">
        <f t="shared" si="31"/>
        <v>KROMACARE001 F-01  n/d 4700064427</v>
      </c>
      <c r="AX62" s="14"/>
      <c r="AY62" s="14"/>
      <c r="AZ62" s="14"/>
      <c r="BA62" s="14"/>
      <c r="BB62" s="21">
        <f t="shared" si="35"/>
        <v>4700064427</v>
      </c>
      <c r="BD62" s="90">
        <f t="shared" si="32"/>
        <v>323904</v>
      </c>
      <c r="BE62" s="90">
        <f t="shared" si="33"/>
        <v>51824.639999999999</v>
      </c>
      <c r="BF62" s="90">
        <f>+BD62*0.0058</f>
        <v>1878.6432</v>
      </c>
      <c r="BG62" s="89">
        <f t="shared" si="34"/>
        <v>53703.283199999998</v>
      </c>
    </row>
    <row r="63" spans="1:59" ht="15" customHeight="1" x14ac:dyDescent="0.25">
      <c r="A63" s="14"/>
      <c r="B63" s="234" t="s">
        <v>49</v>
      </c>
      <c r="C63" s="59" t="s">
        <v>65</v>
      </c>
      <c r="D63" s="18" t="s">
        <v>60</v>
      </c>
      <c r="E63" s="11" t="s">
        <v>301</v>
      </c>
      <c r="F63" s="59">
        <v>4700065428</v>
      </c>
      <c r="G63" s="11" t="s">
        <v>331</v>
      </c>
      <c r="H63" s="32" t="s">
        <v>333</v>
      </c>
      <c r="I63" s="32" t="s">
        <v>365</v>
      </c>
      <c r="J63" s="39" t="s">
        <v>335</v>
      </c>
      <c r="K63" s="59">
        <v>92098064</v>
      </c>
      <c r="L63" s="59" t="s">
        <v>292</v>
      </c>
      <c r="M63" s="60">
        <v>4520</v>
      </c>
      <c r="N63" s="11" t="s">
        <v>72</v>
      </c>
      <c r="O63" s="134">
        <v>45689</v>
      </c>
      <c r="P63" s="134">
        <f>+O63+24</f>
        <v>45713</v>
      </c>
      <c r="Q63" s="11" t="s">
        <v>76</v>
      </c>
      <c r="R63" s="134" t="s">
        <v>99</v>
      </c>
      <c r="S63" s="11"/>
      <c r="T63" s="15" t="s">
        <v>146</v>
      </c>
      <c r="U63" s="38" t="s">
        <v>98</v>
      </c>
      <c r="V63" s="16">
        <v>0</v>
      </c>
      <c r="W63" s="17">
        <v>0</v>
      </c>
      <c r="X63" s="34">
        <f t="shared" si="30"/>
        <v>0</v>
      </c>
      <c r="Y63" s="51" t="s">
        <v>309</v>
      </c>
      <c r="Z63" s="51" t="s">
        <v>309</v>
      </c>
      <c r="AA63" s="192" t="s">
        <v>156</v>
      </c>
      <c r="AB63" s="261" t="s">
        <v>309</v>
      </c>
      <c r="AC63" s="23">
        <v>0</v>
      </c>
      <c r="AD63" s="24" t="s">
        <v>90</v>
      </c>
      <c r="AE63" s="273" t="s">
        <v>98</v>
      </c>
      <c r="AF63" s="25">
        <v>0</v>
      </c>
      <c r="AG63" s="22" t="s">
        <v>128</v>
      </c>
      <c r="AH63" s="273" t="s">
        <v>156</v>
      </c>
      <c r="AI63" s="28">
        <v>0</v>
      </c>
      <c r="AJ63" s="27" t="s">
        <v>118</v>
      </c>
      <c r="AK63" s="279" t="s">
        <v>98</v>
      </c>
      <c r="AL63" s="31">
        <v>0</v>
      </c>
      <c r="AM63" s="279" t="s">
        <v>156</v>
      </c>
      <c r="AN63" s="29">
        <v>0</v>
      </c>
      <c r="AO63" s="266" t="s">
        <v>103</v>
      </c>
      <c r="AP63" s="18" t="s">
        <v>156</v>
      </c>
      <c r="AQ63" s="18" t="s">
        <v>156</v>
      </c>
      <c r="AR63" s="30">
        <v>0</v>
      </c>
      <c r="AS63" s="26"/>
      <c r="AT63" s="19"/>
      <c r="AU63" s="14"/>
      <c r="AV63" s="40"/>
      <c r="AW63" s="14" t="str">
        <f t="shared" si="31"/>
        <v>INNOSPEC001  92098064  n/d 4700065428</v>
      </c>
      <c r="AX63" s="14"/>
      <c r="AY63" s="14"/>
      <c r="AZ63" s="14"/>
      <c r="BA63" s="14"/>
      <c r="BB63" s="21"/>
      <c r="BD63" s="90">
        <f t="shared" si="32"/>
        <v>94920</v>
      </c>
      <c r="BE63" s="90">
        <f t="shared" si="33"/>
        <v>15187.2</v>
      </c>
      <c r="BF63" s="90">
        <f>+BD63*0.008</f>
        <v>759.36</v>
      </c>
      <c r="BG63" s="89">
        <f t="shared" si="34"/>
        <v>15946.560000000001</v>
      </c>
    </row>
    <row r="64" spans="1:59" ht="15" customHeight="1" x14ac:dyDescent="0.25">
      <c r="A64" s="14"/>
      <c r="B64" s="234" t="s">
        <v>49</v>
      </c>
      <c r="C64" s="59" t="s">
        <v>65</v>
      </c>
      <c r="D64" s="18" t="s">
        <v>60</v>
      </c>
      <c r="E64" s="11" t="s">
        <v>303</v>
      </c>
      <c r="F64" s="59">
        <v>4700065444</v>
      </c>
      <c r="G64" s="11" t="s">
        <v>332</v>
      </c>
      <c r="H64" s="32" t="s">
        <v>123</v>
      </c>
      <c r="I64" s="32" t="s">
        <v>365</v>
      </c>
      <c r="J64" s="39" t="s">
        <v>335</v>
      </c>
      <c r="K64" s="59" t="s">
        <v>334</v>
      </c>
      <c r="L64" s="59" t="s">
        <v>292</v>
      </c>
      <c r="M64" s="60">
        <v>1750</v>
      </c>
      <c r="N64" s="11" t="s">
        <v>72</v>
      </c>
      <c r="O64" s="134">
        <v>45689</v>
      </c>
      <c r="P64" s="134">
        <f>+O64+24</f>
        <v>45713</v>
      </c>
      <c r="Q64" s="11" t="s">
        <v>76</v>
      </c>
      <c r="R64" s="134" t="s">
        <v>99</v>
      </c>
      <c r="S64" s="11"/>
      <c r="T64" s="15" t="s">
        <v>146</v>
      </c>
      <c r="U64" s="38" t="s">
        <v>98</v>
      </c>
      <c r="V64" s="16">
        <v>0</v>
      </c>
      <c r="W64" s="17">
        <v>0</v>
      </c>
      <c r="X64" s="34">
        <f t="shared" si="30"/>
        <v>0</v>
      </c>
      <c r="Y64" s="51" t="s">
        <v>309</v>
      </c>
      <c r="Z64" s="51" t="s">
        <v>309</v>
      </c>
      <c r="AA64" s="192" t="s">
        <v>156</v>
      </c>
      <c r="AB64" s="261" t="s">
        <v>309</v>
      </c>
      <c r="AC64" s="23">
        <v>0</v>
      </c>
      <c r="AD64" s="24" t="s">
        <v>90</v>
      </c>
      <c r="AE64" s="273" t="s">
        <v>98</v>
      </c>
      <c r="AF64" s="25">
        <v>0</v>
      </c>
      <c r="AG64" s="22" t="s">
        <v>128</v>
      </c>
      <c r="AH64" s="273" t="s">
        <v>156</v>
      </c>
      <c r="AI64" s="28">
        <v>0</v>
      </c>
      <c r="AJ64" s="27" t="s">
        <v>118</v>
      </c>
      <c r="AK64" s="279" t="s">
        <v>98</v>
      </c>
      <c r="AL64" s="31">
        <v>0</v>
      </c>
      <c r="AM64" s="279" t="s">
        <v>156</v>
      </c>
      <c r="AN64" s="29">
        <v>0</v>
      </c>
      <c r="AO64" s="266" t="s">
        <v>103</v>
      </c>
      <c r="AP64" s="18" t="s">
        <v>156</v>
      </c>
      <c r="AQ64" s="18" t="s">
        <v>156</v>
      </c>
      <c r="AR64" s="30">
        <v>0</v>
      </c>
      <c r="AS64" s="26"/>
      <c r="AT64" s="19"/>
      <c r="AU64" s="14"/>
      <c r="AV64" s="40"/>
      <c r="AW64" s="14" t="str">
        <f t="shared" si="31"/>
        <v>PEROXITALIA001 F-000190  n/d 4700065444</v>
      </c>
      <c r="AX64" s="14"/>
      <c r="AY64" s="14"/>
      <c r="AZ64" s="14"/>
      <c r="BA64" s="14"/>
      <c r="BB64" s="21"/>
      <c r="BD64" s="90">
        <f t="shared" si="32"/>
        <v>36750</v>
      </c>
      <c r="BE64" s="90">
        <f t="shared" si="33"/>
        <v>5880</v>
      </c>
      <c r="BF64" s="90">
        <f>+BD64*0.008</f>
        <v>294</v>
      </c>
      <c r="BG64" s="89">
        <f t="shared" si="34"/>
        <v>6174</v>
      </c>
    </row>
    <row r="65" spans="1:59" ht="15" customHeight="1" x14ac:dyDescent="0.25">
      <c r="A65" s="14"/>
      <c r="B65" s="234" t="s">
        <v>49</v>
      </c>
      <c r="C65" s="59" t="s">
        <v>65</v>
      </c>
      <c r="D65" s="18" t="s">
        <v>61</v>
      </c>
      <c r="E65" s="11" t="s">
        <v>552</v>
      </c>
      <c r="F65" s="59">
        <v>4700063014</v>
      </c>
      <c r="G65" s="11" t="s">
        <v>120</v>
      </c>
      <c r="H65" s="32" t="s">
        <v>121</v>
      </c>
      <c r="I65" s="32" t="s">
        <v>365</v>
      </c>
      <c r="J65" s="39"/>
      <c r="K65" s="59">
        <v>43791</v>
      </c>
      <c r="L65" s="59" t="s">
        <v>291</v>
      </c>
      <c r="M65" s="60">
        <v>28647.41</v>
      </c>
      <c r="N65" s="11" t="s">
        <v>71</v>
      </c>
      <c r="O65" s="134">
        <v>45700</v>
      </c>
      <c r="P65" s="134">
        <v>45714</v>
      </c>
      <c r="Q65" s="11" t="s">
        <v>76</v>
      </c>
      <c r="R65" s="134" t="s">
        <v>99</v>
      </c>
      <c r="S65" s="11"/>
      <c r="T65" s="15" t="s">
        <v>34</v>
      </c>
      <c r="U65" s="38" t="s">
        <v>156</v>
      </c>
      <c r="V65" s="16">
        <v>0</v>
      </c>
      <c r="W65" s="17">
        <v>0</v>
      </c>
      <c r="X65" s="34">
        <f t="shared" ref="X65" si="36">V65+W65</f>
        <v>0</v>
      </c>
      <c r="Y65" s="51" t="s">
        <v>309</v>
      </c>
      <c r="Z65" s="51" t="s">
        <v>309</v>
      </c>
      <c r="AA65" s="192" t="s">
        <v>156</v>
      </c>
      <c r="AB65" s="261" t="s">
        <v>309</v>
      </c>
      <c r="AC65" s="23">
        <v>0</v>
      </c>
      <c r="AD65" s="24" t="s">
        <v>90</v>
      </c>
      <c r="AE65" s="273" t="s">
        <v>98</v>
      </c>
      <c r="AF65" s="25">
        <v>0</v>
      </c>
      <c r="AG65" s="22" t="s">
        <v>128</v>
      </c>
      <c r="AH65" s="273" t="s">
        <v>156</v>
      </c>
      <c r="AI65" s="28">
        <v>0</v>
      </c>
      <c r="AJ65" s="27" t="s">
        <v>118</v>
      </c>
      <c r="AK65" s="279" t="s">
        <v>98</v>
      </c>
      <c r="AL65" s="31">
        <v>0</v>
      </c>
      <c r="AM65" s="279" t="s">
        <v>156</v>
      </c>
      <c r="AN65" s="29">
        <v>0</v>
      </c>
      <c r="AO65" s="266" t="s">
        <v>103</v>
      </c>
      <c r="AP65" s="18" t="s">
        <v>156</v>
      </c>
      <c r="AQ65" s="18" t="s">
        <v>156</v>
      </c>
      <c r="AR65" s="30">
        <v>0</v>
      </c>
      <c r="AS65" s="26"/>
      <c r="AT65" s="19"/>
      <c r="AU65" s="14"/>
      <c r="AV65" s="40"/>
      <c r="AW65" s="14" t="str">
        <f t="shared" ref="AW65" si="37">+E65&amp;" "&amp;K65&amp;" "&amp;" "&amp;Z65&amp;" "&amp;F65</f>
        <v>SAVIRAM005 43791  n/d 4700063014</v>
      </c>
      <c r="AX65" s="14"/>
      <c r="AY65" s="14"/>
      <c r="AZ65" s="14"/>
      <c r="BA65" s="14"/>
      <c r="BB65" s="21">
        <f>+F65</f>
        <v>4700063014</v>
      </c>
      <c r="BD65" s="90">
        <f t="shared" ref="BD65" si="38">+M65*$BD$1</f>
        <v>601595.61</v>
      </c>
      <c r="BE65" s="90">
        <f t="shared" ref="BE65" si="39">+BD65*0.16</f>
        <v>96255.297600000005</v>
      </c>
      <c r="BF65" s="90">
        <f>+BD65*0.158</f>
        <v>95052.106379999997</v>
      </c>
      <c r="BG65" s="89">
        <f t="shared" ref="BG65" si="40">+BF65+BE65</f>
        <v>191307.40398</v>
      </c>
    </row>
    <row r="66" spans="1:59" ht="15" customHeight="1" x14ac:dyDescent="0.25">
      <c r="A66" s="14"/>
      <c r="B66" s="234" t="s">
        <v>49</v>
      </c>
      <c r="C66" s="59" t="s">
        <v>65</v>
      </c>
      <c r="D66" s="18" t="s">
        <v>61</v>
      </c>
      <c r="E66" s="11" t="s">
        <v>553</v>
      </c>
      <c r="F66" s="59">
        <v>4700065230</v>
      </c>
      <c r="G66" s="11" t="s">
        <v>120</v>
      </c>
      <c r="H66" s="32" t="s">
        <v>121</v>
      </c>
      <c r="I66" s="32" t="s">
        <v>365</v>
      </c>
      <c r="J66" s="39"/>
      <c r="K66" s="59">
        <v>43793</v>
      </c>
      <c r="L66" s="59" t="s">
        <v>291</v>
      </c>
      <c r="M66" s="60">
        <v>22523.200000000001</v>
      </c>
      <c r="N66" s="11" t="s">
        <v>71</v>
      </c>
      <c r="O66" s="134">
        <v>45700</v>
      </c>
      <c r="P66" s="134">
        <v>45714</v>
      </c>
      <c r="Q66" s="11" t="s">
        <v>76</v>
      </c>
      <c r="R66" s="134" t="s">
        <v>99</v>
      </c>
      <c r="S66" s="11"/>
      <c r="T66" s="15" t="s">
        <v>34</v>
      </c>
      <c r="U66" s="38" t="s">
        <v>156</v>
      </c>
      <c r="V66" s="16">
        <v>0</v>
      </c>
      <c r="W66" s="17">
        <v>0</v>
      </c>
      <c r="X66" s="34">
        <f t="shared" ref="X66" si="41">V66+W66</f>
        <v>0</v>
      </c>
      <c r="Y66" s="51" t="s">
        <v>309</v>
      </c>
      <c r="Z66" s="51" t="s">
        <v>309</v>
      </c>
      <c r="AA66" s="192" t="s">
        <v>156</v>
      </c>
      <c r="AB66" s="261" t="s">
        <v>309</v>
      </c>
      <c r="AC66" s="23">
        <v>0</v>
      </c>
      <c r="AD66" s="24" t="s">
        <v>90</v>
      </c>
      <c r="AE66" s="273" t="s">
        <v>98</v>
      </c>
      <c r="AF66" s="25">
        <v>0</v>
      </c>
      <c r="AG66" s="22" t="s">
        <v>128</v>
      </c>
      <c r="AH66" s="273" t="s">
        <v>156</v>
      </c>
      <c r="AI66" s="28">
        <v>0</v>
      </c>
      <c r="AJ66" s="27" t="s">
        <v>118</v>
      </c>
      <c r="AK66" s="279" t="s">
        <v>98</v>
      </c>
      <c r="AL66" s="31">
        <v>0</v>
      </c>
      <c r="AM66" s="279" t="s">
        <v>156</v>
      </c>
      <c r="AN66" s="29">
        <v>0</v>
      </c>
      <c r="AO66" s="266" t="s">
        <v>103</v>
      </c>
      <c r="AP66" s="18" t="s">
        <v>156</v>
      </c>
      <c r="AQ66" s="18" t="s">
        <v>156</v>
      </c>
      <c r="AR66" s="30">
        <v>0</v>
      </c>
      <c r="AS66" s="26"/>
      <c r="AT66" s="19"/>
      <c r="AU66" s="14"/>
      <c r="AV66" s="40"/>
      <c r="AW66" s="14" t="str">
        <f t="shared" ref="AW66" si="42">+E66&amp;" "&amp;K66&amp;" "&amp;" "&amp;Z66&amp;" "&amp;F66</f>
        <v>SAVIRAM006 43793  n/d 4700065230</v>
      </c>
      <c r="AX66" s="14"/>
      <c r="AY66" s="14"/>
      <c r="AZ66" s="14"/>
      <c r="BA66" s="14"/>
      <c r="BB66" s="21">
        <f>+F66</f>
        <v>4700065230</v>
      </c>
      <c r="BD66" s="90">
        <f t="shared" ref="BD66" si="43">+M66*$BD$1</f>
        <v>472987.2</v>
      </c>
      <c r="BE66" s="90">
        <f t="shared" ref="BE66" si="44">+BD66*0.16</f>
        <v>75677.952000000005</v>
      </c>
      <c r="BF66" s="90">
        <f>+BD66*0.158</f>
        <v>74731.977599999998</v>
      </c>
      <c r="BG66" s="89">
        <f t="shared" ref="BG66" si="45">+BF66+BE66</f>
        <v>150409.9296</v>
      </c>
    </row>
    <row r="67" spans="1:59" ht="15" customHeight="1" x14ac:dyDescent="0.25">
      <c r="A67" s="14"/>
      <c r="B67" s="234" t="s">
        <v>49</v>
      </c>
      <c r="C67" s="59" t="s">
        <v>65</v>
      </c>
      <c r="D67" s="18" t="s">
        <v>61</v>
      </c>
      <c r="E67" s="11" t="s">
        <v>554</v>
      </c>
      <c r="F67" s="59">
        <v>4700065234</v>
      </c>
      <c r="G67" s="11" t="s">
        <v>120</v>
      </c>
      <c r="H67" s="32" t="s">
        <v>121</v>
      </c>
      <c r="I67" s="32" t="s">
        <v>365</v>
      </c>
      <c r="J67" s="39"/>
      <c r="K67" s="59">
        <v>43794</v>
      </c>
      <c r="L67" s="59" t="s">
        <v>291</v>
      </c>
      <c r="M67" s="60">
        <v>22523.200000000001</v>
      </c>
      <c r="N67" s="11" t="s">
        <v>71</v>
      </c>
      <c r="O67" s="134">
        <v>45700</v>
      </c>
      <c r="P67" s="134">
        <v>45714</v>
      </c>
      <c r="Q67" s="11" t="s">
        <v>76</v>
      </c>
      <c r="R67" s="134" t="s">
        <v>99</v>
      </c>
      <c r="S67" s="11"/>
      <c r="T67" s="15" t="s">
        <v>34</v>
      </c>
      <c r="U67" s="38" t="s">
        <v>156</v>
      </c>
      <c r="V67" s="16">
        <v>0</v>
      </c>
      <c r="W67" s="17">
        <v>0</v>
      </c>
      <c r="X67" s="34">
        <f t="shared" ref="X67" si="46">V67+W67</f>
        <v>0</v>
      </c>
      <c r="Y67" s="51" t="s">
        <v>309</v>
      </c>
      <c r="Z67" s="51" t="s">
        <v>309</v>
      </c>
      <c r="AA67" s="192" t="s">
        <v>156</v>
      </c>
      <c r="AB67" s="261" t="s">
        <v>309</v>
      </c>
      <c r="AC67" s="23">
        <v>0</v>
      </c>
      <c r="AD67" s="24" t="s">
        <v>90</v>
      </c>
      <c r="AE67" s="273" t="s">
        <v>98</v>
      </c>
      <c r="AF67" s="25">
        <v>0</v>
      </c>
      <c r="AG67" s="22" t="s">
        <v>128</v>
      </c>
      <c r="AH67" s="273" t="s">
        <v>156</v>
      </c>
      <c r="AI67" s="28">
        <v>0</v>
      </c>
      <c r="AJ67" s="27" t="s">
        <v>118</v>
      </c>
      <c r="AK67" s="279" t="s">
        <v>98</v>
      </c>
      <c r="AL67" s="31">
        <v>0</v>
      </c>
      <c r="AM67" s="279" t="s">
        <v>156</v>
      </c>
      <c r="AN67" s="29">
        <v>0</v>
      </c>
      <c r="AO67" s="266" t="s">
        <v>103</v>
      </c>
      <c r="AP67" s="18" t="s">
        <v>156</v>
      </c>
      <c r="AQ67" s="18" t="s">
        <v>156</v>
      </c>
      <c r="AR67" s="30">
        <v>0</v>
      </c>
      <c r="AS67" s="26"/>
      <c r="AT67" s="19"/>
      <c r="AU67" s="14"/>
      <c r="AV67" s="40"/>
      <c r="AW67" s="14" t="str">
        <f t="shared" ref="AW67" si="47">+E67&amp;" "&amp;K67&amp;" "&amp;" "&amp;Z67&amp;" "&amp;F67</f>
        <v>SAVIRAM007 43794  n/d 4700065234</v>
      </c>
      <c r="AX67" s="14"/>
      <c r="AY67" s="14"/>
      <c r="AZ67" s="14"/>
      <c r="BA67" s="14"/>
      <c r="BB67" s="21">
        <f>+F67</f>
        <v>4700065234</v>
      </c>
      <c r="BD67" s="90">
        <f t="shared" ref="BD67" si="48">+M67*$BD$1</f>
        <v>472987.2</v>
      </c>
      <c r="BE67" s="90">
        <f t="shared" ref="BE67" si="49">+BD67*0.16</f>
        <v>75677.952000000005</v>
      </c>
      <c r="BF67" s="90">
        <f>+BD67*0.158</f>
        <v>74731.977599999998</v>
      </c>
      <c r="BG67" s="89">
        <f t="shared" ref="BG67" si="50">+BF67+BE67</f>
        <v>150409.9296</v>
      </c>
    </row>
    <row r="68" spans="1:59" ht="15" customHeight="1" x14ac:dyDescent="0.25">
      <c r="A68" s="14"/>
      <c r="B68" s="234" t="s">
        <v>49</v>
      </c>
      <c r="C68" s="59" t="s">
        <v>65</v>
      </c>
      <c r="D68" s="18" t="s">
        <v>61</v>
      </c>
      <c r="E68" s="11" t="s">
        <v>239</v>
      </c>
      <c r="F68" s="59">
        <v>4700062434</v>
      </c>
      <c r="G68" s="11" t="s">
        <v>120</v>
      </c>
      <c r="H68" s="32" t="s">
        <v>121</v>
      </c>
      <c r="I68" s="32" t="s">
        <v>365</v>
      </c>
      <c r="J68" s="39" t="s">
        <v>240</v>
      </c>
      <c r="K68" s="59">
        <v>43782</v>
      </c>
      <c r="L68" s="59" t="s">
        <v>291</v>
      </c>
      <c r="M68" s="60">
        <v>22323.200000000001</v>
      </c>
      <c r="N68" s="11" t="s">
        <v>71</v>
      </c>
      <c r="O68" s="134">
        <v>45696</v>
      </c>
      <c r="P68" s="134">
        <v>45722</v>
      </c>
      <c r="Q68" s="11" t="s">
        <v>76</v>
      </c>
      <c r="R68" s="134" t="s">
        <v>99</v>
      </c>
      <c r="S68" s="11" t="s">
        <v>453</v>
      </c>
      <c r="T68" s="15" t="s">
        <v>34</v>
      </c>
      <c r="U68" s="38" t="s">
        <v>156</v>
      </c>
      <c r="V68" s="16">
        <v>0</v>
      </c>
      <c r="W68" s="17">
        <v>0</v>
      </c>
      <c r="X68" s="34">
        <f t="shared" si="30"/>
        <v>0</v>
      </c>
      <c r="Y68" s="51" t="s">
        <v>309</v>
      </c>
      <c r="Z68" s="51" t="s">
        <v>309</v>
      </c>
      <c r="AA68" s="192" t="s">
        <v>156</v>
      </c>
      <c r="AB68" s="261" t="s">
        <v>309</v>
      </c>
      <c r="AC68" s="23">
        <v>0</v>
      </c>
      <c r="AD68" s="24" t="s">
        <v>90</v>
      </c>
      <c r="AE68" s="273" t="s">
        <v>98</v>
      </c>
      <c r="AF68" s="25">
        <v>0</v>
      </c>
      <c r="AG68" s="22" t="s">
        <v>128</v>
      </c>
      <c r="AH68" s="273" t="s">
        <v>156</v>
      </c>
      <c r="AI68" s="28">
        <v>0</v>
      </c>
      <c r="AJ68" s="27" t="s">
        <v>118</v>
      </c>
      <c r="AK68" s="279" t="s">
        <v>98</v>
      </c>
      <c r="AL68" s="31">
        <v>0</v>
      </c>
      <c r="AM68" s="279" t="s">
        <v>156</v>
      </c>
      <c r="AN68" s="29">
        <v>0</v>
      </c>
      <c r="AO68" s="266" t="s">
        <v>103</v>
      </c>
      <c r="AP68" s="18" t="s">
        <v>156</v>
      </c>
      <c r="AQ68" s="18" t="s">
        <v>156</v>
      </c>
      <c r="AR68" s="30">
        <v>0</v>
      </c>
      <c r="AS68" s="26"/>
      <c r="AT68" s="19"/>
      <c r="AU68" s="14"/>
      <c r="AV68" s="40"/>
      <c r="AW68" s="14" t="str">
        <f t="shared" si="31"/>
        <v>SAVIRAM004 43782  n/d 4700062434</v>
      </c>
      <c r="AX68" s="14"/>
      <c r="AY68" s="14"/>
      <c r="AZ68" s="14"/>
      <c r="BA68" s="14"/>
      <c r="BB68" s="21">
        <f>+F68</f>
        <v>4700062434</v>
      </c>
      <c r="BD68" s="90">
        <f t="shared" si="32"/>
        <v>468787.20000000001</v>
      </c>
      <c r="BE68" s="90">
        <f t="shared" si="33"/>
        <v>75005.952000000005</v>
      </c>
      <c r="BF68" s="90">
        <f>+BD68*0.158</f>
        <v>74068.377600000007</v>
      </c>
      <c r="BG68" s="89">
        <f t="shared" si="34"/>
        <v>149074.3296</v>
      </c>
    </row>
    <row r="69" spans="1:59" ht="15" customHeight="1" x14ac:dyDescent="0.25">
      <c r="A69" s="14"/>
      <c r="B69" s="234" t="s">
        <v>49</v>
      </c>
      <c r="C69" s="59" t="s">
        <v>65</v>
      </c>
      <c r="D69" s="18" t="s">
        <v>60</v>
      </c>
      <c r="E69" s="11" t="s">
        <v>196</v>
      </c>
      <c r="F69" s="59">
        <v>4700064009</v>
      </c>
      <c r="G69" s="11" t="s">
        <v>209</v>
      </c>
      <c r="H69" s="32" t="s">
        <v>123</v>
      </c>
      <c r="I69" s="32" t="s">
        <v>365</v>
      </c>
      <c r="J69" s="39" t="s">
        <v>329</v>
      </c>
      <c r="K69" s="59">
        <v>1058</v>
      </c>
      <c r="L69" s="59" t="s">
        <v>292</v>
      </c>
      <c r="M69" s="60">
        <v>1060</v>
      </c>
      <c r="N69" s="11" t="s">
        <v>72</v>
      </c>
      <c r="O69" s="134">
        <v>45693</v>
      </c>
      <c r="P69" s="134">
        <v>45722</v>
      </c>
      <c r="Q69" s="11" t="s">
        <v>76</v>
      </c>
      <c r="R69" s="134" t="s">
        <v>99</v>
      </c>
      <c r="S69" s="11" t="s">
        <v>454</v>
      </c>
      <c r="T69" s="15" t="s">
        <v>146</v>
      </c>
      <c r="U69" s="38" t="s">
        <v>98</v>
      </c>
      <c r="V69" s="16">
        <v>0</v>
      </c>
      <c r="W69" s="17">
        <v>0</v>
      </c>
      <c r="X69" s="34">
        <f t="shared" si="30"/>
        <v>0</v>
      </c>
      <c r="Y69" s="51" t="s">
        <v>309</v>
      </c>
      <c r="Z69" s="51" t="s">
        <v>309</v>
      </c>
      <c r="AA69" s="192" t="s">
        <v>156</v>
      </c>
      <c r="AB69" s="261" t="s">
        <v>309</v>
      </c>
      <c r="AC69" s="23">
        <v>0</v>
      </c>
      <c r="AD69" s="24" t="s">
        <v>90</v>
      </c>
      <c r="AE69" s="273" t="s">
        <v>98</v>
      </c>
      <c r="AF69" s="25">
        <v>0</v>
      </c>
      <c r="AG69" s="22" t="s">
        <v>128</v>
      </c>
      <c r="AH69" s="273" t="s">
        <v>156</v>
      </c>
      <c r="AI69" s="28">
        <v>0</v>
      </c>
      <c r="AJ69" s="27" t="s">
        <v>118</v>
      </c>
      <c r="AK69" s="279" t="s">
        <v>98</v>
      </c>
      <c r="AL69" s="31">
        <v>0</v>
      </c>
      <c r="AM69" s="279" t="s">
        <v>156</v>
      </c>
      <c r="AN69" s="29">
        <v>0</v>
      </c>
      <c r="AO69" s="266" t="s">
        <v>103</v>
      </c>
      <c r="AP69" s="18" t="s">
        <v>156</v>
      </c>
      <c r="AQ69" s="18" t="s">
        <v>156</v>
      </c>
      <c r="AR69" s="30">
        <v>0</v>
      </c>
      <c r="AS69" s="26"/>
      <c r="AT69" s="19"/>
      <c r="AU69" s="14"/>
      <c r="AV69" s="40"/>
      <c r="AW69" s="14" t="str">
        <f t="shared" si="31"/>
        <v>COMETECH#08 1058  n/d 4700064009</v>
      </c>
      <c r="AX69" s="14"/>
      <c r="AY69" s="14"/>
      <c r="AZ69" s="14"/>
      <c r="BA69" s="14"/>
      <c r="BB69" s="21"/>
      <c r="BD69" s="90">
        <f t="shared" si="32"/>
        <v>22260</v>
      </c>
      <c r="BE69" s="90">
        <f t="shared" si="33"/>
        <v>3561.6</v>
      </c>
      <c r="BF69" s="90">
        <f>+BD69*0.008</f>
        <v>178.08</v>
      </c>
      <c r="BG69" s="89">
        <f t="shared" si="34"/>
        <v>3739.68</v>
      </c>
    </row>
    <row r="70" spans="1:59" ht="15" customHeight="1" x14ac:dyDescent="0.25">
      <c r="A70" s="14"/>
      <c r="B70" s="234" t="s">
        <v>49</v>
      </c>
      <c r="C70" s="59" t="s">
        <v>65</v>
      </c>
      <c r="D70" s="18" t="s">
        <v>60</v>
      </c>
      <c r="E70" s="11" t="s">
        <v>302</v>
      </c>
      <c r="F70" s="59">
        <v>4700065390</v>
      </c>
      <c r="G70" s="11" t="s">
        <v>336</v>
      </c>
      <c r="H70" s="32" t="s">
        <v>337</v>
      </c>
      <c r="I70" s="32" t="s">
        <v>365</v>
      </c>
      <c r="J70" s="39" t="s">
        <v>456</v>
      </c>
      <c r="K70" s="59">
        <v>323</v>
      </c>
      <c r="L70" s="59" t="s">
        <v>292</v>
      </c>
      <c r="M70" s="60">
        <v>19910.400000000001</v>
      </c>
      <c r="N70" s="11" t="s">
        <v>72</v>
      </c>
      <c r="O70" s="134">
        <v>45700</v>
      </c>
      <c r="P70" s="134">
        <v>45722</v>
      </c>
      <c r="Q70" s="11" t="s">
        <v>76</v>
      </c>
      <c r="R70" s="134" t="s">
        <v>99</v>
      </c>
      <c r="S70" s="11"/>
      <c r="T70" s="15" t="s">
        <v>144</v>
      </c>
      <c r="U70" s="38" t="s">
        <v>98</v>
      </c>
      <c r="V70" s="16">
        <v>0</v>
      </c>
      <c r="W70" s="17">
        <v>0</v>
      </c>
      <c r="X70" s="34">
        <f t="shared" si="30"/>
        <v>0</v>
      </c>
      <c r="Y70" s="51" t="s">
        <v>309</v>
      </c>
      <c r="Z70" s="51" t="s">
        <v>309</v>
      </c>
      <c r="AA70" s="192" t="s">
        <v>156</v>
      </c>
      <c r="AB70" s="261" t="s">
        <v>309</v>
      </c>
      <c r="AC70" s="23">
        <v>0</v>
      </c>
      <c r="AD70" s="24" t="s">
        <v>90</v>
      </c>
      <c r="AE70" s="273" t="s">
        <v>98</v>
      </c>
      <c r="AF70" s="25">
        <v>0</v>
      </c>
      <c r="AG70" s="22" t="s">
        <v>128</v>
      </c>
      <c r="AH70" s="273" t="s">
        <v>156</v>
      </c>
      <c r="AI70" s="28">
        <v>0</v>
      </c>
      <c r="AJ70" s="27" t="s">
        <v>118</v>
      </c>
      <c r="AK70" s="279" t="s">
        <v>98</v>
      </c>
      <c r="AL70" s="31">
        <v>0</v>
      </c>
      <c r="AM70" s="279" t="s">
        <v>156</v>
      </c>
      <c r="AN70" s="29">
        <v>0</v>
      </c>
      <c r="AO70" s="266" t="s">
        <v>103</v>
      </c>
      <c r="AP70" s="18" t="s">
        <v>156</v>
      </c>
      <c r="AQ70" s="18" t="s">
        <v>156</v>
      </c>
      <c r="AR70" s="30">
        <v>0</v>
      </c>
      <c r="AS70" s="26"/>
      <c r="AT70" s="19"/>
      <c r="AU70" s="14"/>
      <c r="AV70" s="40"/>
      <c r="AW70" s="14" t="str">
        <f t="shared" si="31"/>
        <v>LEHVOSS001 323  n/d 4700065390</v>
      </c>
      <c r="AX70" s="14"/>
      <c r="AY70" s="14"/>
      <c r="AZ70" s="14"/>
      <c r="BA70" s="14"/>
      <c r="BB70" s="21"/>
      <c r="BD70" s="90">
        <f t="shared" si="32"/>
        <v>418118.40000000002</v>
      </c>
      <c r="BE70" s="90">
        <f t="shared" si="33"/>
        <v>66898.944000000003</v>
      </c>
      <c r="BF70" s="90">
        <f>+BD70*0.008</f>
        <v>3344.9472000000001</v>
      </c>
      <c r="BG70" s="89">
        <f t="shared" si="34"/>
        <v>70243.891199999998</v>
      </c>
    </row>
    <row r="71" spans="1:59" ht="15" customHeight="1" x14ac:dyDescent="0.25">
      <c r="A71" s="14"/>
      <c r="B71" s="234" t="s">
        <v>49</v>
      </c>
      <c r="C71" s="11" t="s">
        <v>65</v>
      </c>
      <c r="D71" s="18" t="s">
        <v>60</v>
      </c>
      <c r="E71" s="11" t="s">
        <v>298</v>
      </c>
      <c r="F71" s="11" t="s">
        <v>299</v>
      </c>
      <c r="G71" s="11" t="s">
        <v>116</v>
      </c>
      <c r="H71" s="32" t="s">
        <v>123</v>
      </c>
      <c r="I71" s="32" t="s">
        <v>365</v>
      </c>
      <c r="J71" s="39" t="s">
        <v>456</v>
      </c>
      <c r="K71" s="11">
        <v>500061</v>
      </c>
      <c r="L71" s="11" t="s">
        <v>292</v>
      </c>
      <c r="M71" s="12">
        <v>445</v>
      </c>
      <c r="N71" s="11" t="s">
        <v>72</v>
      </c>
      <c r="O71" s="135">
        <v>45700</v>
      </c>
      <c r="P71" s="135">
        <v>45722</v>
      </c>
      <c r="Q71" s="11" t="s">
        <v>76</v>
      </c>
      <c r="R71" s="135" t="s">
        <v>99</v>
      </c>
      <c r="S71" s="11"/>
      <c r="T71" s="15" t="s">
        <v>144</v>
      </c>
      <c r="U71" s="38" t="s">
        <v>98</v>
      </c>
      <c r="V71" s="16">
        <v>0</v>
      </c>
      <c r="W71" s="17">
        <v>0</v>
      </c>
      <c r="X71" s="34">
        <f t="shared" si="30"/>
        <v>0</v>
      </c>
      <c r="Y71" s="51" t="s">
        <v>309</v>
      </c>
      <c r="Z71" s="51" t="s">
        <v>309</v>
      </c>
      <c r="AA71" s="192" t="s">
        <v>156</v>
      </c>
      <c r="AB71" s="261" t="s">
        <v>309</v>
      </c>
      <c r="AC71" s="23">
        <v>0</v>
      </c>
      <c r="AD71" s="24" t="s">
        <v>90</v>
      </c>
      <c r="AE71" s="273" t="s">
        <v>98</v>
      </c>
      <c r="AF71" s="25">
        <v>0</v>
      </c>
      <c r="AG71" s="22" t="s">
        <v>128</v>
      </c>
      <c r="AH71" s="273" t="s">
        <v>156</v>
      </c>
      <c r="AI71" s="28">
        <v>0</v>
      </c>
      <c r="AJ71" s="27" t="s">
        <v>118</v>
      </c>
      <c r="AK71" s="279" t="s">
        <v>98</v>
      </c>
      <c r="AL71" s="31">
        <v>0</v>
      </c>
      <c r="AM71" s="279" t="s">
        <v>156</v>
      </c>
      <c r="AN71" s="29">
        <v>0</v>
      </c>
      <c r="AO71" s="266" t="s">
        <v>103</v>
      </c>
      <c r="AP71" s="18" t="s">
        <v>156</v>
      </c>
      <c r="AQ71" s="18" t="s">
        <v>156</v>
      </c>
      <c r="AR71" s="30">
        <v>0</v>
      </c>
      <c r="AS71" s="26"/>
      <c r="AT71" s="19"/>
      <c r="AU71" s="14"/>
      <c r="AV71" s="40"/>
      <c r="AW71" s="14" t="str">
        <f t="shared" si="31"/>
        <v>BRENNTAG001 500061  n/d 4700066045 &amp; 4700065397</v>
      </c>
      <c r="AX71" s="14"/>
      <c r="AY71" s="14"/>
      <c r="AZ71" s="14"/>
      <c r="BA71" s="14"/>
      <c r="BB71" s="21"/>
      <c r="BD71" s="90">
        <f t="shared" si="32"/>
        <v>9345</v>
      </c>
      <c r="BE71" s="90">
        <f t="shared" si="33"/>
        <v>1495.2</v>
      </c>
      <c r="BF71" s="90">
        <f>+BD71*0.008</f>
        <v>74.760000000000005</v>
      </c>
      <c r="BG71" s="89">
        <f t="shared" si="34"/>
        <v>1569.96</v>
      </c>
    </row>
    <row r="72" spans="1:59" ht="15" customHeight="1" x14ac:dyDescent="0.25">
      <c r="A72" s="14"/>
      <c r="B72" s="234" t="s">
        <v>49</v>
      </c>
      <c r="C72" s="11" t="s">
        <v>65</v>
      </c>
      <c r="D72" s="18" t="s">
        <v>97</v>
      </c>
      <c r="E72" s="11" t="s">
        <v>391</v>
      </c>
      <c r="F72" s="11" t="s">
        <v>157</v>
      </c>
      <c r="G72" s="11" t="s">
        <v>116</v>
      </c>
      <c r="H72" s="32" t="s">
        <v>121</v>
      </c>
      <c r="I72" s="32" t="s">
        <v>365</v>
      </c>
      <c r="J72" s="39"/>
      <c r="K72" s="11">
        <v>10002081</v>
      </c>
      <c r="L72" s="11" t="s">
        <v>291</v>
      </c>
      <c r="M72" s="12">
        <v>155249.41</v>
      </c>
      <c r="N72" s="11" t="s">
        <v>71</v>
      </c>
      <c r="O72" s="135">
        <v>45705</v>
      </c>
      <c r="P72" s="135">
        <f>+O72+22</f>
        <v>45727</v>
      </c>
      <c r="Q72" s="11" t="s">
        <v>85</v>
      </c>
      <c r="R72" s="135" t="s">
        <v>99</v>
      </c>
      <c r="S72" s="11" t="s">
        <v>455</v>
      </c>
      <c r="T72" s="15" t="s">
        <v>34</v>
      </c>
      <c r="U72" s="38" t="s">
        <v>156</v>
      </c>
      <c r="V72" s="16">
        <v>0</v>
      </c>
      <c r="W72" s="17">
        <v>0</v>
      </c>
      <c r="X72" s="34">
        <f t="shared" si="30"/>
        <v>0</v>
      </c>
      <c r="Y72" s="51" t="s">
        <v>309</v>
      </c>
      <c r="Z72" s="51" t="s">
        <v>309</v>
      </c>
      <c r="AA72" s="192" t="s">
        <v>156</v>
      </c>
      <c r="AB72" s="261" t="s">
        <v>309</v>
      </c>
      <c r="AC72" s="23">
        <v>0</v>
      </c>
      <c r="AD72" s="24" t="s">
        <v>90</v>
      </c>
      <c r="AE72" s="273" t="s">
        <v>98</v>
      </c>
      <c r="AF72" s="25">
        <v>0</v>
      </c>
      <c r="AG72" s="22" t="s">
        <v>128</v>
      </c>
      <c r="AH72" s="273" t="s">
        <v>156</v>
      </c>
      <c r="AI72" s="28">
        <v>0</v>
      </c>
      <c r="AJ72" s="27" t="s">
        <v>118</v>
      </c>
      <c r="AK72" s="279" t="s">
        <v>98</v>
      </c>
      <c r="AL72" s="31">
        <v>0</v>
      </c>
      <c r="AM72" s="279" t="s">
        <v>156</v>
      </c>
      <c r="AN72" s="29">
        <v>0</v>
      </c>
      <c r="AO72" s="266" t="s">
        <v>103</v>
      </c>
      <c r="AP72" s="18" t="s">
        <v>156</v>
      </c>
      <c r="AQ72" s="18" t="s">
        <v>156</v>
      </c>
      <c r="AR72" s="30">
        <v>0</v>
      </c>
      <c r="AS72" s="26"/>
      <c r="AT72" s="19"/>
      <c r="AU72" s="14"/>
      <c r="AV72" s="40"/>
      <c r="AW72" s="14" t="str">
        <f t="shared" si="31"/>
        <v>B&amp;BPF003 10002081  n/d N/D</v>
      </c>
      <c r="AX72" s="14"/>
      <c r="AY72" s="14"/>
      <c r="AZ72" s="14"/>
      <c r="BA72" s="14"/>
      <c r="BB72" s="21" t="str">
        <f>+F72</f>
        <v>N/D</v>
      </c>
      <c r="BD72" s="90">
        <f t="shared" si="32"/>
        <v>3260237.61</v>
      </c>
      <c r="BE72" s="90">
        <f t="shared" si="33"/>
        <v>521638.01759999996</v>
      </c>
      <c r="BF72" s="90">
        <f>+BD72*0.008</f>
        <v>26081.900880000001</v>
      </c>
      <c r="BG72" s="89">
        <f t="shared" si="34"/>
        <v>547719.91847999999</v>
      </c>
    </row>
    <row r="73" spans="1:59" ht="15" customHeight="1" x14ac:dyDescent="0.25">
      <c r="A73" s="14"/>
      <c r="B73" s="234" t="s">
        <v>49</v>
      </c>
      <c r="C73" s="11" t="s">
        <v>65</v>
      </c>
      <c r="D73" s="18" t="s">
        <v>97</v>
      </c>
      <c r="E73" s="11" t="s">
        <v>395</v>
      </c>
      <c r="F73" s="11" t="s">
        <v>157</v>
      </c>
      <c r="G73" s="11" t="s">
        <v>116</v>
      </c>
      <c r="H73" s="32" t="s">
        <v>121</v>
      </c>
      <c r="I73" s="32" t="s">
        <v>365</v>
      </c>
      <c r="J73" s="39"/>
      <c r="K73" s="11">
        <v>10004886</v>
      </c>
      <c r="L73" s="11" t="s">
        <v>291</v>
      </c>
      <c r="M73" s="12">
        <v>86385.85</v>
      </c>
      <c r="N73" s="11" t="s">
        <v>71</v>
      </c>
      <c r="O73" s="135">
        <v>45707</v>
      </c>
      <c r="P73" s="135">
        <f>+O73+22</f>
        <v>45729</v>
      </c>
      <c r="Q73" s="49" t="s">
        <v>85</v>
      </c>
      <c r="R73" s="135" t="s">
        <v>99</v>
      </c>
      <c r="S73" s="11"/>
      <c r="T73" s="15" t="s">
        <v>34</v>
      </c>
      <c r="U73" s="38" t="s">
        <v>156</v>
      </c>
      <c r="V73" s="16">
        <v>0</v>
      </c>
      <c r="W73" s="17">
        <v>0</v>
      </c>
      <c r="X73" s="34">
        <f t="shared" si="30"/>
        <v>0</v>
      </c>
      <c r="Y73" s="51" t="s">
        <v>309</v>
      </c>
      <c r="Z73" s="51" t="s">
        <v>309</v>
      </c>
      <c r="AA73" s="192" t="s">
        <v>156</v>
      </c>
      <c r="AB73" s="261" t="s">
        <v>309</v>
      </c>
      <c r="AC73" s="23">
        <v>0</v>
      </c>
      <c r="AD73" s="24" t="s">
        <v>90</v>
      </c>
      <c r="AE73" s="273" t="s">
        <v>98</v>
      </c>
      <c r="AF73" s="25">
        <v>0</v>
      </c>
      <c r="AG73" s="22" t="s">
        <v>128</v>
      </c>
      <c r="AH73" s="273" t="s">
        <v>156</v>
      </c>
      <c r="AI73" s="28">
        <v>0</v>
      </c>
      <c r="AJ73" s="27" t="s">
        <v>118</v>
      </c>
      <c r="AK73" s="279" t="s">
        <v>98</v>
      </c>
      <c r="AL73" s="31">
        <v>0</v>
      </c>
      <c r="AM73" s="279" t="s">
        <v>156</v>
      </c>
      <c r="AN73" s="29">
        <v>0</v>
      </c>
      <c r="AO73" s="266" t="s">
        <v>103</v>
      </c>
      <c r="AP73" s="18" t="s">
        <v>156</v>
      </c>
      <c r="AQ73" s="18" t="s">
        <v>156</v>
      </c>
      <c r="AR73" s="30">
        <v>0</v>
      </c>
      <c r="AS73" s="26"/>
      <c r="AT73" s="19"/>
      <c r="AU73" s="14"/>
      <c r="AV73" s="40"/>
      <c r="AW73" s="14" t="str">
        <f t="shared" si="31"/>
        <v>B&amp;BPF004 10004886  n/d N/D</v>
      </c>
      <c r="AX73" s="14"/>
      <c r="AY73" s="14"/>
      <c r="AZ73" s="14"/>
      <c r="BA73" s="14"/>
      <c r="BB73" s="21" t="str">
        <f>+F73</f>
        <v>N/D</v>
      </c>
      <c r="BD73" s="90">
        <f t="shared" si="32"/>
        <v>1814102.85</v>
      </c>
      <c r="BE73" s="90">
        <f t="shared" si="33"/>
        <v>290256.45600000001</v>
      </c>
      <c r="BF73" s="90">
        <f>+BD73*0.008</f>
        <v>14512.822800000002</v>
      </c>
      <c r="BG73" s="89">
        <f t="shared" si="34"/>
        <v>304769.27880000003</v>
      </c>
    </row>
    <row r="74" spans="1:59" ht="14.45" customHeight="1" x14ac:dyDescent="0.25">
      <c r="A74" s="14"/>
      <c r="B74" s="234" t="s">
        <v>49</v>
      </c>
      <c r="C74" s="11" t="s">
        <v>65</v>
      </c>
      <c r="D74" s="18" t="s">
        <v>60</v>
      </c>
      <c r="E74" s="11" t="s">
        <v>459</v>
      </c>
      <c r="F74" s="11">
        <v>4700066228</v>
      </c>
      <c r="G74" s="11" t="s">
        <v>115</v>
      </c>
      <c r="H74" s="32" t="s">
        <v>121</v>
      </c>
      <c r="I74" s="32" t="s">
        <v>365</v>
      </c>
      <c r="J74" s="11" t="s">
        <v>460</v>
      </c>
      <c r="K74" s="11" t="s">
        <v>461</v>
      </c>
      <c r="L74" s="11" t="s">
        <v>292</v>
      </c>
      <c r="M74" s="12">
        <v>54428</v>
      </c>
      <c r="N74" s="11" t="s">
        <v>72</v>
      </c>
      <c r="O74" s="135">
        <v>45707</v>
      </c>
      <c r="P74" s="135">
        <v>45729</v>
      </c>
      <c r="Q74" s="49" t="s">
        <v>86</v>
      </c>
      <c r="R74" s="135" t="s">
        <v>99</v>
      </c>
      <c r="S74" s="11"/>
      <c r="T74" s="15" t="s">
        <v>146</v>
      </c>
      <c r="U74" s="38" t="s">
        <v>98</v>
      </c>
      <c r="V74" s="16">
        <v>0</v>
      </c>
      <c r="W74" s="17">
        <v>0</v>
      </c>
      <c r="X74" s="34">
        <f t="shared" si="30"/>
        <v>0</v>
      </c>
      <c r="Y74" s="51" t="s">
        <v>309</v>
      </c>
      <c r="Z74" s="51" t="s">
        <v>309</v>
      </c>
      <c r="AA74" s="192" t="s">
        <v>156</v>
      </c>
      <c r="AB74" s="261" t="s">
        <v>309</v>
      </c>
      <c r="AC74" s="23">
        <v>0</v>
      </c>
      <c r="AD74" s="24" t="s">
        <v>90</v>
      </c>
      <c r="AE74" s="273" t="s">
        <v>98</v>
      </c>
      <c r="AF74" s="25">
        <v>0</v>
      </c>
      <c r="AG74" s="22" t="s">
        <v>128</v>
      </c>
      <c r="AH74" s="273" t="s">
        <v>156</v>
      </c>
      <c r="AI74" s="28">
        <v>0</v>
      </c>
      <c r="AJ74" s="27" t="s">
        <v>118</v>
      </c>
      <c r="AK74" s="279" t="s">
        <v>98</v>
      </c>
      <c r="AL74" s="31">
        <v>0</v>
      </c>
      <c r="AM74" s="279" t="s">
        <v>156</v>
      </c>
      <c r="AN74" s="29">
        <v>0</v>
      </c>
      <c r="AO74" s="266" t="s">
        <v>103</v>
      </c>
      <c r="AP74" s="18" t="s">
        <v>156</v>
      </c>
      <c r="AQ74" s="18" t="s">
        <v>156</v>
      </c>
      <c r="AR74" s="30">
        <v>0</v>
      </c>
      <c r="AS74" s="26"/>
      <c r="AT74" s="19"/>
      <c r="AU74" s="14"/>
      <c r="AV74" s="40"/>
      <c r="AW74" s="14" t="str">
        <f t="shared" si="31"/>
        <v>ERCA002 V2-90  n/d 4700066228</v>
      </c>
      <c r="AX74" s="14"/>
      <c r="AY74" s="14"/>
      <c r="AZ74" s="14"/>
      <c r="BA74" s="14"/>
      <c r="BB74" s="21">
        <f>+F74</f>
        <v>4700066228</v>
      </c>
      <c r="BD74" s="90">
        <f t="shared" si="32"/>
        <v>1142988</v>
      </c>
      <c r="BE74" s="90">
        <f t="shared" si="33"/>
        <v>182878.08000000002</v>
      </c>
      <c r="BF74" s="90">
        <f>+BD74*0.0058</f>
        <v>6629.3303999999998</v>
      </c>
      <c r="BG74" s="89">
        <f t="shared" si="34"/>
        <v>189507.41040000002</v>
      </c>
    </row>
    <row r="75" spans="1:59" ht="14.45" customHeight="1" x14ac:dyDescent="0.25">
      <c r="A75" s="14"/>
      <c r="B75" s="234" t="s">
        <v>49</v>
      </c>
      <c r="C75" s="11" t="s">
        <v>65</v>
      </c>
      <c r="D75" s="18" t="s">
        <v>60</v>
      </c>
      <c r="E75" s="11" t="s">
        <v>410</v>
      </c>
      <c r="F75" s="11" t="s">
        <v>157</v>
      </c>
      <c r="G75" s="11" t="s">
        <v>116</v>
      </c>
      <c r="H75" s="32" t="s">
        <v>121</v>
      </c>
      <c r="I75" s="32"/>
      <c r="J75" s="39"/>
      <c r="K75" s="11" t="s">
        <v>411</v>
      </c>
      <c r="L75" s="11" t="s">
        <v>291</v>
      </c>
      <c r="M75" s="12">
        <f>28199.98+72388.67</f>
        <v>100588.65</v>
      </c>
      <c r="N75" s="11" t="s">
        <v>71</v>
      </c>
      <c r="O75" s="135">
        <v>45710</v>
      </c>
      <c r="P75" s="135">
        <f>+O75+22</f>
        <v>45732</v>
      </c>
      <c r="Q75" s="11" t="s">
        <v>85</v>
      </c>
      <c r="R75" s="135" t="s">
        <v>99</v>
      </c>
      <c r="S75" s="173" t="s">
        <v>457</v>
      </c>
      <c r="T75" s="15" t="s">
        <v>34</v>
      </c>
      <c r="U75" s="38" t="s">
        <v>156</v>
      </c>
      <c r="V75" s="16">
        <v>0</v>
      </c>
      <c r="W75" s="17">
        <v>0</v>
      </c>
      <c r="X75" s="34">
        <f t="shared" si="30"/>
        <v>0</v>
      </c>
      <c r="Y75" s="51" t="s">
        <v>309</v>
      </c>
      <c r="Z75" s="51" t="s">
        <v>309</v>
      </c>
      <c r="AA75" s="192" t="s">
        <v>156</v>
      </c>
      <c r="AB75" s="261" t="s">
        <v>309</v>
      </c>
      <c r="AC75" s="23">
        <v>0</v>
      </c>
      <c r="AD75" s="24" t="s">
        <v>90</v>
      </c>
      <c r="AE75" s="273" t="s">
        <v>98</v>
      </c>
      <c r="AF75" s="25">
        <v>0</v>
      </c>
      <c r="AG75" s="22" t="s">
        <v>128</v>
      </c>
      <c r="AH75" s="273" t="s">
        <v>156</v>
      </c>
      <c r="AI75" s="28">
        <v>0</v>
      </c>
      <c r="AJ75" s="27" t="s">
        <v>118</v>
      </c>
      <c r="AK75" s="279" t="s">
        <v>98</v>
      </c>
      <c r="AL75" s="31">
        <v>0</v>
      </c>
      <c r="AM75" s="279" t="s">
        <v>156</v>
      </c>
      <c r="AN75" s="29">
        <v>0</v>
      </c>
      <c r="AO75" s="266" t="s">
        <v>103</v>
      </c>
      <c r="AP75" s="18" t="s">
        <v>156</v>
      </c>
      <c r="AQ75" s="18" t="s">
        <v>156</v>
      </c>
      <c r="AR75" s="30">
        <v>0</v>
      </c>
      <c r="AS75" s="26"/>
      <c r="AT75" s="19"/>
      <c r="AU75" s="14"/>
      <c r="AV75" s="40"/>
      <c r="AW75" s="14" t="str">
        <f t="shared" si="31"/>
        <v>B&amp;BMP002 10003993 &amp; 10003997  n/d N/D</v>
      </c>
      <c r="AX75" s="14"/>
      <c r="AY75" s="14"/>
      <c r="AZ75" s="14"/>
      <c r="BA75" s="14"/>
      <c r="BB75" s="21" t="str">
        <f>+F75</f>
        <v>N/D</v>
      </c>
      <c r="BD75" s="90">
        <f t="shared" si="32"/>
        <v>2112361.65</v>
      </c>
      <c r="BE75" s="90">
        <f t="shared" si="33"/>
        <v>337977.864</v>
      </c>
      <c r="BF75" s="90">
        <f>+BD75*0.018</f>
        <v>38022.509699999995</v>
      </c>
      <c r="BG75" s="89">
        <v>339647</v>
      </c>
    </row>
    <row r="76" spans="1:59" ht="14.45" customHeight="1" x14ac:dyDescent="0.25">
      <c r="A76" s="14"/>
      <c r="B76" s="234" t="s">
        <v>49</v>
      </c>
      <c r="C76" s="11" t="s">
        <v>65</v>
      </c>
      <c r="D76" s="18" t="s">
        <v>60</v>
      </c>
      <c r="E76" s="11" t="s">
        <v>393</v>
      </c>
      <c r="F76" s="11">
        <v>4700066182</v>
      </c>
      <c r="G76" s="11" t="s">
        <v>116</v>
      </c>
      <c r="H76" s="32" t="s">
        <v>121</v>
      </c>
      <c r="I76" s="32" t="s">
        <v>365</v>
      </c>
      <c r="J76" s="39" t="s">
        <v>414</v>
      </c>
      <c r="K76" s="11" t="s">
        <v>98</v>
      </c>
      <c r="L76" s="11" t="s">
        <v>292</v>
      </c>
      <c r="M76" s="12">
        <v>0</v>
      </c>
      <c r="N76" s="11" t="s">
        <v>71</v>
      </c>
      <c r="O76" s="135">
        <v>45714</v>
      </c>
      <c r="P76" s="135">
        <v>45733</v>
      </c>
      <c r="Q76" s="11" t="s">
        <v>87</v>
      </c>
      <c r="R76" s="135" t="s">
        <v>99</v>
      </c>
      <c r="S76" s="11" t="s">
        <v>458</v>
      </c>
      <c r="T76" s="15" t="s">
        <v>413</v>
      </c>
      <c r="U76" s="38" t="s">
        <v>98</v>
      </c>
      <c r="V76" s="16">
        <v>0</v>
      </c>
      <c r="W76" s="17">
        <v>0</v>
      </c>
      <c r="X76" s="34">
        <f t="shared" si="30"/>
        <v>0</v>
      </c>
      <c r="Y76" s="51" t="s">
        <v>309</v>
      </c>
      <c r="Z76" s="51" t="s">
        <v>309</v>
      </c>
      <c r="AA76" s="192" t="s">
        <v>156</v>
      </c>
      <c r="AB76" s="261" t="s">
        <v>309</v>
      </c>
      <c r="AC76" s="23">
        <v>0</v>
      </c>
      <c r="AD76" s="24" t="s">
        <v>90</v>
      </c>
      <c r="AE76" s="273" t="s">
        <v>98</v>
      </c>
      <c r="AF76" s="25">
        <v>0</v>
      </c>
      <c r="AG76" s="22" t="s">
        <v>128</v>
      </c>
      <c r="AH76" s="273" t="s">
        <v>156</v>
      </c>
      <c r="AI76" s="28">
        <v>0</v>
      </c>
      <c r="AJ76" s="27" t="s">
        <v>118</v>
      </c>
      <c r="AK76" s="279" t="s">
        <v>98</v>
      </c>
      <c r="AL76" s="31">
        <v>0</v>
      </c>
      <c r="AM76" s="279" t="s">
        <v>156</v>
      </c>
      <c r="AN76" s="29">
        <v>0</v>
      </c>
      <c r="AO76" s="266" t="s">
        <v>103</v>
      </c>
      <c r="AP76" s="18" t="s">
        <v>156</v>
      </c>
      <c r="AQ76" s="18" t="s">
        <v>156</v>
      </c>
      <c r="AR76" s="30">
        <v>0</v>
      </c>
      <c r="AS76" s="26"/>
      <c r="AT76" s="19"/>
      <c r="AU76" s="14"/>
      <c r="AV76" s="40"/>
      <c r="AW76" s="14" t="str">
        <f t="shared" si="31"/>
        <v>PANZERI001 PENDIENTE  n/d 4700066182</v>
      </c>
      <c r="AX76" s="14"/>
      <c r="AY76" s="14"/>
      <c r="AZ76" s="14"/>
      <c r="BA76" s="14"/>
      <c r="BB76" s="21">
        <f>+F76</f>
        <v>4700066182</v>
      </c>
      <c r="BD76" s="90">
        <f t="shared" si="32"/>
        <v>0</v>
      </c>
      <c r="BE76" s="90">
        <f t="shared" si="33"/>
        <v>0</v>
      </c>
      <c r="BF76" s="90">
        <f>+BD76*0.008</f>
        <v>0</v>
      </c>
      <c r="BG76" s="89">
        <f>+BF76+BE76</f>
        <v>0</v>
      </c>
    </row>
    <row r="77" spans="1:59" ht="14.45" customHeight="1" thickBot="1" x14ac:dyDescent="0.3">
      <c r="A77" s="206"/>
      <c r="B77" s="234" t="s">
        <v>49</v>
      </c>
      <c r="C77" s="207" t="s">
        <v>65</v>
      </c>
      <c r="D77" s="226" t="s">
        <v>60</v>
      </c>
      <c r="E77" s="207" t="s">
        <v>462</v>
      </c>
      <c r="F77" s="207" t="s">
        <v>463</v>
      </c>
      <c r="G77" s="207" t="s">
        <v>332</v>
      </c>
      <c r="H77" s="208" t="s">
        <v>142</v>
      </c>
      <c r="I77" s="32" t="s">
        <v>365</v>
      </c>
      <c r="J77" s="209" t="s">
        <v>464</v>
      </c>
      <c r="K77" s="207" t="s">
        <v>98</v>
      </c>
      <c r="L77" s="207" t="s">
        <v>292</v>
      </c>
      <c r="M77" s="210">
        <v>0</v>
      </c>
      <c r="N77" s="207" t="s">
        <v>72</v>
      </c>
      <c r="O77" s="135">
        <v>45721</v>
      </c>
      <c r="P77" s="135">
        <v>45743</v>
      </c>
      <c r="Q77" s="11" t="s">
        <v>87</v>
      </c>
      <c r="R77" s="211" t="s">
        <v>99</v>
      </c>
      <c r="S77" s="207" t="s">
        <v>490</v>
      </c>
      <c r="T77" s="213" t="s">
        <v>146</v>
      </c>
      <c r="U77" s="214" t="s">
        <v>98</v>
      </c>
      <c r="V77" s="215">
        <v>0</v>
      </c>
      <c r="W77" s="216">
        <v>0</v>
      </c>
      <c r="X77" s="217">
        <f t="shared" si="30"/>
        <v>0</v>
      </c>
      <c r="Y77" s="51" t="s">
        <v>309</v>
      </c>
      <c r="Z77" s="51" t="s">
        <v>309</v>
      </c>
      <c r="AA77" s="192" t="s">
        <v>156</v>
      </c>
      <c r="AB77" s="261" t="s">
        <v>309</v>
      </c>
      <c r="AC77" s="23">
        <v>0</v>
      </c>
      <c r="AD77" s="221" t="s">
        <v>90</v>
      </c>
      <c r="AE77" s="274" t="s">
        <v>98</v>
      </c>
      <c r="AF77" s="222">
        <v>0</v>
      </c>
      <c r="AG77" s="223" t="s">
        <v>128</v>
      </c>
      <c r="AH77" s="274" t="s">
        <v>156</v>
      </c>
      <c r="AI77" s="224">
        <v>0</v>
      </c>
      <c r="AJ77" s="225" t="s">
        <v>118</v>
      </c>
      <c r="AK77" s="281" t="s">
        <v>98</v>
      </c>
      <c r="AL77" s="227">
        <v>0</v>
      </c>
      <c r="AM77" s="281" t="s">
        <v>156</v>
      </c>
      <c r="AN77" s="177">
        <v>0</v>
      </c>
      <c r="AO77" s="267" t="s">
        <v>103</v>
      </c>
      <c r="AP77" s="226" t="s">
        <v>156</v>
      </c>
      <c r="AQ77" s="226" t="s">
        <v>156</v>
      </c>
      <c r="AR77" s="228">
        <v>0</v>
      </c>
      <c r="AS77" s="229"/>
      <c r="AT77" s="230"/>
      <c r="AU77" s="206"/>
      <c r="AV77" s="231"/>
      <c r="AW77" s="206" t="str">
        <f t="shared" si="31"/>
        <v>PEROXITALIA002 PENDIENTE  n/d 4700066465 4700066538</v>
      </c>
      <c r="AX77" s="206"/>
      <c r="AY77" s="206"/>
      <c r="AZ77" s="206"/>
      <c r="BA77" s="206"/>
      <c r="BB77" s="21"/>
      <c r="BD77" s="90">
        <f t="shared" si="32"/>
        <v>0</v>
      </c>
      <c r="BE77" s="90">
        <f t="shared" si="33"/>
        <v>0</v>
      </c>
      <c r="BF77" s="90">
        <f>+BD77*0.008</f>
        <v>0</v>
      </c>
      <c r="BG77" s="89">
        <f>+BF77+BE77</f>
        <v>0</v>
      </c>
    </row>
    <row r="78" spans="1:59" ht="14.45" customHeight="1" x14ac:dyDescent="0.25">
      <c r="A78" s="14"/>
      <c r="B78" s="234" t="s">
        <v>49</v>
      </c>
      <c r="C78" s="11" t="s">
        <v>65</v>
      </c>
      <c r="D78" s="18" t="s">
        <v>61</v>
      </c>
      <c r="E78" s="11" t="s">
        <v>418</v>
      </c>
      <c r="F78" s="11">
        <v>4700064216</v>
      </c>
      <c r="G78" s="11" t="s">
        <v>419</v>
      </c>
      <c r="H78" s="32" t="s">
        <v>123</v>
      </c>
      <c r="I78" s="32" t="s">
        <v>365</v>
      </c>
      <c r="J78" s="39" t="s">
        <v>465</v>
      </c>
      <c r="K78" s="11" t="s">
        <v>98</v>
      </c>
      <c r="L78" s="11" t="s">
        <v>292</v>
      </c>
      <c r="M78" s="12">
        <v>0</v>
      </c>
      <c r="N78" s="11" t="s">
        <v>71</v>
      </c>
      <c r="O78" s="135" t="s">
        <v>309</v>
      </c>
      <c r="P78" s="135" t="s">
        <v>99</v>
      </c>
      <c r="Q78" s="11" t="s">
        <v>87</v>
      </c>
      <c r="R78" s="135" t="s">
        <v>99</v>
      </c>
      <c r="S78" s="11"/>
      <c r="T78" s="15" t="s">
        <v>144</v>
      </c>
      <c r="U78" s="38" t="s">
        <v>98</v>
      </c>
      <c r="V78" s="16">
        <v>0</v>
      </c>
      <c r="W78" s="17">
        <v>0</v>
      </c>
      <c r="X78" s="34">
        <f t="shared" si="30"/>
        <v>0</v>
      </c>
      <c r="Y78" s="51" t="s">
        <v>309</v>
      </c>
      <c r="Z78" s="51" t="s">
        <v>309</v>
      </c>
      <c r="AA78" s="192" t="s">
        <v>156</v>
      </c>
      <c r="AB78" s="261" t="s">
        <v>309</v>
      </c>
      <c r="AC78" s="23">
        <v>0</v>
      </c>
      <c r="AD78" s="24" t="s">
        <v>90</v>
      </c>
      <c r="AE78" s="273" t="s">
        <v>98</v>
      </c>
      <c r="AF78" s="25">
        <v>0</v>
      </c>
      <c r="AG78" s="22" t="s">
        <v>128</v>
      </c>
      <c r="AH78" s="273" t="s">
        <v>156</v>
      </c>
      <c r="AI78" s="28">
        <v>0</v>
      </c>
      <c r="AJ78" s="27" t="s">
        <v>118</v>
      </c>
      <c r="AK78" s="279" t="s">
        <v>98</v>
      </c>
      <c r="AL78" s="31">
        <v>0</v>
      </c>
      <c r="AM78" s="279" t="s">
        <v>156</v>
      </c>
      <c r="AN78" s="29">
        <v>0</v>
      </c>
      <c r="AO78" s="266" t="s">
        <v>103</v>
      </c>
      <c r="AP78" s="18" t="s">
        <v>156</v>
      </c>
      <c r="AQ78" s="18" t="s">
        <v>156</v>
      </c>
      <c r="AR78" s="30">
        <v>0</v>
      </c>
      <c r="AS78" s="26"/>
      <c r="AT78" s="19"/>
      <c r="AU78" s="14"/>
      <c r="AV78" s="40"/>
      <c r="AW78" s="14" t="str">
        <f t="shared" si="31"/>
        <v>NITTLE001  PENDIENTE  n/d 4700064216</v>
      </c>
      <c r="AX78" s="14"/>
      <c r="AY78" s="14"/>
      <c r="AZ78" s="14"/>
      <c r="BA78" s="14"/>
      <c r="BB78" s="21">
        <f>+F78</f>
        <v>4700064216</v>
      </c>
      <c r="BD78" s="90">
        <f t="shared" si="32"/>
        <v>0</v>
      </c>
      <c r="BE78" s="90">
        <f t="shared" si="33"/>
        <v>0</v>
      </c>
      <c r="BF78" s="90">
        <f>+BD78*0.008</f>
        <v>0</v>
      </c>
      <c r="BG78" s="89">
        <f>+BF78+BE78</f>
        <v>0</v>
      </c>
    </row>
    <row r="79" spans="1:59" ht="15" customHeight="1" x14ac:dyDescent="0.25">
      <c r="A79" s="14"/>
      <c r="B79" s="234" t="s">
        <v>49</v>
      </c>
      <c r="C79" s="59" t="s">
        <v>65</v>
      </c>
      <c r="D79" s="18" t="s">
        <v>60</v>
      </c>
      <c r="E79" s="11" t="s">
        <v>433</v>
      </c>
      <c r="F79" s="59">
        <v>4700066498</v>
      </c>
      <c r="G79" s="11" t="s">
        <v>296</v>
      </c>
      <c r="H79" s="32" t="s">
        <v>168</v>
      </c>
      <c r="I79" s="32" t="s">
        <v>365</v>
      </c>
      <c r="J79" s="11"/>
      <c r="K79" s="59">
        <v>8</v>
      </c>
      <c r="L79" s="59" t="s">
        <v>292</v>
      </c>
      <c r="M79" s="60">
        <v>7712</v>
      </c>
      <c r="N79" s="11" t="s">
        <v>72</v>
      </c>
      <c r="O79" s="134" t="s">
        <v>309</v>
      </c>
      <c r="P79" s="134" t="s">
        <v>99</v>
      </c>
      <c r="Q79" s="11" t="s">
        <v>87</v>
      </c>
      <c r="R79" s="134" t="s">
        <v>99</v>
      </c>
      <c r="S79" s="91"/>
      <c r="T79" s="15" t="s">
        <v>98</v>
      </c>
      <c r="U79" s="38" t="s">
        <v>98</v>
      </c>
      <c r="V79" s="16">
        <v>0</v>
      </c>
      <c r="W79" s="17">
        <v>0</v>
      </c>
      <c r="X79" s="34">
        <f t="shared" si="30"/>
        <v>0</v>
      </c>
      <c r="Y79" s="51" t="s">
        <v>309</v>
      </c>
      <c r="Z79" s="51" t="s">
        <v>309</v>
      </c>
      <c r="AA79" s="192" t="s">
        <v>156</v>
      </c>
      <c r="AB79" s="261" t="s">
        <v>309</v>
      </c>
      <c r="AC79" s="23">
        <v>0</v>
      </c>
      <c r="AD79" s="24" t="s">
        <v>90</v>
      </c>
      <c r="AE79" s="273" t="s">
        <v>98</v>
      </c>
      <c r="AF79" s="25">
        <v>0</v>
      </c>
      <c r="AG79" s="22" t="s">
        <v>128</v>
      </c>
      <c r="AH79" s="273" t="s">
        <v>156</v>
      </c>
      <c r="AI79" s="28">
        <v>0</v>
      </c>
      <c r="AJ79" s="27" t="s">
        <v>118</v>
      </c>
      <c r="AK79" s="279" t="s">
        <v>98</v>
      </c>
      <c r="AL79" s="31">
        <v>0</v>
      </c>
      <c r="AM79" s="279" t="s">
        <v>156</v>
      </c>
      <c r="AN79" s="29">
        <v>0</v>
      </c>
      <c r="AO79" s="266" t="s">
        <v>103</v>
      </c>
      <c r="AP79" s="18" t="s">
        <v>156</v>
      </c>
      <c r="AQ79" s="18" t="s">
        <v>156</v>
      </c>
      <c r="AR79" s="30">
        <v>0</v>
      </c>
      <c r="AS79" s="26"/>
      <c r="AT79" s="19"/>
      <c r="AU79" s="14"/>
      <c r="AV79" s="40"/>
      <c r="AW79" s="14" t="str">
        <f t="shared" si="31"/>
        <v>KROMACARE002 8  n/d 4700066498</v>
      </c>
      <c r="AX79" s="14"/>
      <c r="AY79" s="14"/>
      <c r="AZ79" s="14"/>
      <c r="BA79" s="14"/>
      <c r="BB79" s="21">
        <f>+F79</f>
        <v>4700066498</v>
      </c>
      <c r="BD79" s="90">
        <f t="shared" si="32"/>
        <v>161952</v>
      </c>
      <c r="BE79" s="90">
        <f t="shared" si="33"/>
        <v>25912.32</v>
      </c>
      <c r="BF79" s="90">
        <f>+BD79*0.0058</f>
        <v>939.32159999999999</v>
      </c>
      <c r="BG79" s="89">
        <f>+BF79+BE79</f>
        <v>26851.641599999999</v>
      </c>
    </row>
    <row r="80" spans="1:59" ht="14.45" customHeight="1" x14ac:dyDescent="0.25">
      <c r="A80" s="14"/>
      <c r="B80" s="234" t="s">
        <v>49</v>
      </c>
      <c r="C80" s="11" t="s">
        <v>67</v>
      </c>
      <c r="D80" s="18" t="s">
        <v>60</v>
      </c>
      <c r="E80" s="11" t="s">
        <v>441</v>
      </c>
      <c r="F80" s="11" t="s">
        <v>157</v>
      </c>
      <c r="G80" s="11" t="s">
        <v>126</v>
      </c>
      <c r="H80" s="32" t="s">
        <v>122</v>
      </c>
      <c r="I80" s="32" t="s">
        <v>365</v>
      </c>
      <c r="J80" s="39" t="s">
        <v>442</v>
      </c>
      <c r="K80" s="11">
        <v>24000128</v>
      </c>
      <c r="L80" s="11" t="s">
        <v>294</v>
      </c>
      <c r="M80" s="12">
        <v>2592.54</v>
      </c>
      <c r="N80" s="11" t="s">
        <v>71</v>
      </c>
      <c r="O80" s="135">
        <v>45699</v>
      </c>
      <c r="P80" s="135">
        <v>45701</v>
      </c>
      <c r="Q80" s="11" t="s">
        <v>73</v>
      </c>
      <c r="R80" s="135">
        <v>45706</v>
      </c>
      <c r="S80" s="11"/>
      <c r="T80" s="15" t="s">
        <v>34</v>
      </c>
      <c r="U80" s="38" t="s">
        <v>156</v>
      </c>
      <c r="V80" s="16">
        <v>0</v>
      </c>
      <c r="W80" s="17">
        <v>0</v>
      </c>
      <c r="X80" s="34">
        <v>0</v>
      </c>
      <c r="Y80" s="51">
        <v>3945</v>
      </c>
      <c r="Z80" s="51">
        <v>5001221</v>
      </c>
      <c r="AA80" s="192" t="s">
        <v>156</v>
      </c>
      <c r="AB80" s="261">
        <v>45705</v>
      </c>
      <c r="AC80" s="23">
        <v>2511</v>
      </c>
      <c r="AD80" s="24" t="s">
        <v>90</v>
      </c>
      <c r="AE80" s="273" t="s">
        <v>98</v>
      </c>
      <c r="AF80" s="25">
        <v>0</v>
      </c>
      <c r="AG80" s="22" t="s">
        <v>95</v>
      </c>
      <c r="AH80" s="273" t="s">
        <v>548</v>
      </c>
      <c r="AI80" s="254">
        <v>6300</v>
      </c>
      <c r="AJ80" s="26" t="s">
        <v>118</v>
      </c>
      <c r="AK80" s="279" t="s">
        <v>98</v>
      </c>
      <c r="AL80" s="31">
        <v>0</v>
      </c>
      <c r="AM80" s="279" t="s">
        <v>156</v>
      </c>
      <c r="AN80" s="29">
        <v>0</v>
      </c>
      <c r="AO80" s="266" t="s">
        <v>103</v>
      </c>
      <c r="AP80" s="18" t="s">
        <v>156</v>
      </c>
      <c r="AQ80" s="18" t="s">
        <v>156</v>
      </c>
      <c r="AR80" s="30">
        <v>0</v>
      </c>
      <c r="AS80" s="26"/>
      <c r="AT80" s="19"/>
      <c r="AU80" s="14"/>
      <c r="AV80" s="40"/>
      <c r="AW80" s="14" t="str">
        <f t="shared" si="23"/>
        <v>DELLY001  24000128  5001221 N/D</v>
      </c>
      <c r="AX80" s="14"/>
      <c r="AY80" s="14"/>
      <c r="AZ80" s="14"/>
      <c r="BA80" s="14"/>
      <c r="BB80" s="21" t="str">
        <f t="shared" ref="BB80" si="51">+F80</f>
        <v>N/D</v>
      </c>
      <c r="BD80" s="90">
        <f t="shared" si="8"/>
        <v>54443.34</v>
      </c>
      <c r="BE80" s="90">
        <f t="shared" si="9"/>
        <v>8710.9344000000001</v>
      </c>
      <c r="BF80" s="90">
        <f t="shared" ref="BF80" si="52">+BD80*0.0058</f>
        <v>315.77137199999999</v>
      </c>
      <c r="BG80" s="89">
        <f t="shared" si="11"/>
        <v>9026.7057719999993</v>
      </c>
    </row>
    <row r="81" spans="1:59" ht="14.45" customHeight="1" x14ac:dyDescent="0.25">
      <c r="A81" s="14"/>
      <c r="B81" s="234" t="s">
        <v>49</v>
      </c>
      <c r="C81" s="11" t="s">
        <v>119</v>
      </c>
      <c r="D81" s="18" t="s">
        <v>26</v>
      </c>
      <c r="E81" s="11" t="s">
        <v>338</v>
      </c>
      <c r="F81" s="11" t="s">
        <v>26</v>
      </c>
      <c r="G81" s="11" t="s">
        <v>109</v>
      </c>
      <c r="H81" s="32" t="s">
        <v>122</v>
      </c>
      <c r="I81" s="32" t="s">
        <v>365</v>
      </c>
      <c r="J81" s="39" t="s">
        <v>420</v>
      </c>
      <c r="K81" s="11" t="s">
        <v>421</v>
      </c>
      <c r="L81" s="11" t="s">
        <v>294</v>
      </c>
      <c r="M81" s="12">
        <v>10</v>
      </c>
      <c r="N81" s="11" t="s">
        <v>71</v>
      </c>
      <c r="O81" s="135">
        <v>45677</v>
      </c>
      <c r="P81" s="135">
        <v>45679</v>
      </c>
      <c r="Q81" s="11" t="s">
        <v>73</v>
      </c>
      <c r="R81" s="135">
        <v>45695</v>
      </c>
      <c r="S81" s="11"/>
      <c r="T81" s="15" t="s">
        <v>34</v>
      </c>
      <c r="U81" s="38" t="s">
        <v>156</v>
      </c>
      <c r="V81" s="16">
        <v>0</v>
      </c>
      <c r="W81" s="17">
        <v>0</v>
      </c>
      <c r="X81" s="34">
        <v>0</v>
      </c>
      <c r="Y81" s="51">
        <v>3979</v>
      </c>
      <c r="Z81" s="51">
        <v>5000660</v>
      </c>
      <c r="AA81" s="192" t="s">
        <v>156</v>
      </c>
      <c r="AB81" s="261">
        <v>45699</v>
      </c>
      <c r="AC81" s="23">
        <v>206</v>
      </c>
      <c r="AD81" s="24" t="s">
        <v>91</v>
      </c>
      <c r="AE81" s="273" t="s">
        <v>534</v>
      </c>
      <c r="AF81" s="25">
        <v>10063.64</v>
      </c>
      <c r="AG81" s="22" t="s">
        <v>128</v>
      </c>
      <c r="AH81" s="273" t="s">
        <v>156</v>
      </c>
      <c r="AI81" s="28">
        <v>1084.1600000000001</v>
      </c>
      <c r="AJ81" s="27" t="s">
        <v>103</v>
      </c>
      <c r="AK81" s="279" t="s">
        <v>156</v>
      </c>
      <c r="AL81" s="31">
        <v>0</v>
      </c>
      <c r="AM81" s="279" t="s">
        <v>156</v>
      </c>
      <c r="AN81" s="29">
        <v>0</v>
      </c>
      <c r="AO81" s="266" t="s">
        <v>103</v>
      </c>
      <c r="AP81" s="18" t="s">
        <v>156</v>
      </c>
      <c r="AQ81" s="18" t="s">
        <v>156</v>
      </c>
      <c r="AR81" s="30">
        <v>0</v>
      </c>
      <c r="AS81" s="26"/>
      <c r="AT81" s="19"/>
      <c r="AU81" s="14"/>
      <c r="AV81" s="40"/>
      <c r="AW81" s="14" t="str">
        <f t="shared" ref="AW81:AW92" si="53">+E81&amp;" "&amp;K81&amp;" "&amp;" "&amp;Z81&amp;" "&amp;F81</f>
        <v>BERLINFX001 BER01  5000660 MUESTRA</v>
      </c>
      <c r="AX81" s="14"/>
      <c r="AY81" s="14"/>
      <c r="AZ81" s="14"/>
      <c r="BA81" s="14"/>
      <c r="BB81" s="21" t="str">
        <f t="shared" ref="BB81:BB92" si="54">+F81</f>
        <v>MUESTRA</v>
      </c>
      <c r="BD81" s="90">
        <f t="shared" ref="BD81:BD92" si="55">+M81*$BD$1</f>
        <v>210</v>
      </c>
      <c r="BE81" s="90">
        <f t="shared" ref="BE81:BE92" si="56">+BD81*0.16</f>
        <v>33.6</v>
      </c>
      <c r="BF81" s="90">
        <f t="shared" ref="BF81:BF92" si="57">+BD81*0.0058</f>
        <v>1.218</v>
      </c>
      <c r="BG81" s="89">
        <f t="shared" ref="BG81:BG92" si="58">+BF81+BE81</f>
        <v>34.817999999999998</v>
      </c>
    </row>
    <row r="82" spans="1:59" ht="14.45" customHeight="1" x14ac:dyDescent="0.25">
      <c r="A82" s="14"/>
      <c r="B82" s="234" t="s">
        <v>49</v>
      </c>
      <c r="C82" s="11" t="s">
        <v>119</v>
      </c>
      <c r="D82" s="18" t="s">
        <v>26</v>
      </c>
      <c r="E82" s="11" t="s">
        <v>338</v>
      </c>
      <c r="F82" s="11" t="s">
        <v>26</v>
      </c>
      <c r="G82" s="11" t="s">
        <v>109</v>
      </c>
      <c r="H82" s="32" t="s">
        <v>122</v>
      </c>
      <c r="I82" s="32" t="s">
        <v>365</v>
      </c>
      <c r="J82" s="39" t="s">
        <v>467</v>
      </c>
      <c r="K82" s="11" t="s">
        <v>466</v>
      </c>
      <c r="L82" s="11" t="s">
        <v>294</v>
      </c>
      <c r="M82" s="12">
        <v>10</v>
      </c>
      <c r="N82" s="11" t="s">
        <v>71</v>
      </c>
      <c r="O82" s="135">
        <v>45677</v>
      </c>
      <c r="P82" s="135">
        <v>45679</v>
      </c>
      <c r="Q82" s="11" t="s">
        <v>73</v>
      </c>
      <c r="R82" s="135">
        <v>45700</v>
      </c>
      <c r="S82" s="11"/>
      <c r="T82" s="15" t="s">
        <v>34</v>
      </c>
      <c r="U82" s="38" t="s">
        <v>156</v>
      </c>
      <c r="V82" s="16">
        <v>0</v>
      </c>
      <c r="W82" s="17">
        <v>0</v>
      </c>
      <c r="X82" s="34">
        <v>0</v>
      </c>
      <c r="Y82" s="51">
        <v>3979</v>
      </c>
      <c r="Z82" s="51">
        <v>5000601</v>
      </c>
      <c r="AA82" s="192" t="s">
        <v>156</v>
      </c>
      <c r="AB82" s="261">
        <v>45693</v>
      </c>
      <c r="AC82" s="23">
        <v>206</v>
      </c>
      <c r="AD82" s="24" t="s">
        <v>91</v>
      </c>
      <c r="AE82" s="273" t="s">
        <v>528</v>
      </c>
      <c r="AF82" s="25">
        <v>10258.86</v>
      </c>
      <c r="AG82" s="22" t="s">
        <v>128</v>
      </c>
      <c r="AH82" s="273" t="s">
        <v>156</v>
      </c>
      <c r="AI82" s="28">
        <v>985.6</v>
      </c>
      <c r="AJ82" s="27" t="s">
        <v>103</v>
      </c>
      <c r="AK82" s="279" t="s">
        <v>156</v>
      </c>
      <c r="AL82" s="31">
        <v>0</v>
      </c>
      <c r="AM82" s="279" t="s">
        <v>156</v>
      </c>
      <c r="AN82" s="29">
        <v>0</v>
      </c>
      <c r="AO82" s="266" t="s">
        <v>103</v>
      </c>
      <c r="AP82" s="18" t="s">
        <v>156</v>
      </c>
      <c r="AQ82" s="18" t="s">
        <v>156</v>
      </c>
      <c r="AR82" s="30">
        <v>0</v>
      </c>
      <c r="AS82" s="26"/>
      <c r="AT82" s="19"/>
      <c r="AU82" s="14"/>
      <c r="AV82" s="40"/>
      <c r="AW82" s="14" t="str">
        <f t="shared" si="53"/>
        <v>BERLINFX001 BER02  5000601 MUESTRA</v>
      </c>
      <c r="AX82" s="14"/>
      <c r="AY82" s="14"/>
      <c r="AZ82" s="14"/>
      <c r="BA82" s="14"/>
      <c r="BB82" s="21" t="str">
        <f t="shared" si="54"/>
        <v>MUESTRA</v>
      </c>
      <c r="BD82" s="90">
        <f t="shared" si="55"/>
        <v>210</v>
      </c>
      <c r="BE82" s="90">
        <f t="shared" si="56"/>
        <v>33.6</v>
      </c>
      <c r="BF82" s="90">
        <f t="shared" si="57"/>
        <v>1.218</v>
      </c>
      <c r="BG82" s="89">
        <f t="shared" si="58"/>
        <v>34.817999999999998</v>
      </c>
    </row>
    <row r="83" spans="1:59" ht="14.45" customHeight="1" x14ac:dyDescent="0.25">
      <c r="A83" s="14" t="s">
        <v>532</v>
      </c>
      <c r="B83" s="234" t="s">
        <v>49</v>
      </c>
      <c r="C83" s="11" t="s">
        <v>119</v>
      </c>
      <c r="D83" s="18" t="s">
        <v>60</v>
      </c>
      <c r="E83" s="11" t="s">
        <v>379</v>
      </c>
      <c r="F83" s="11" t="s">
        <v>26</v>
      </c>
      <c r="G83" s="11" t="s">
        <v>126</v>
      </c>
      <c r="H83" s="32" t="s">
        <v>122</v>
      </c>
      <c r="I83" s="32" t="s">
        <v>365</v>
      </c>
      <c r="J83" s="39" t="s">
        <v>378</v>
      </c>
      <c r="K83" s="11">
        <v>24000090</v>
      </c>
      <c r="L83" s="11" t="s">
        <v>294</v>
      </c>
      <c r="M83" s="12">
        <v>480.22</v>
      </c>
      <c r="N83" s="11" t="s">
        <v>71</v>
      </c>
      <c r="O83" s="135">
        <v>45677</v>
      </c>
      <c r="P83" s="135">
        <v>45679</v>
      </c>
      <c r="Q83" s="11" t="s">
        <v>73</v>
      </c>
      <c r="R83" s="135">
        <v>45701</v>
      </c>
      <c r="S83" s="11"/>
      <c r="T83" s="15" t="s">
        <v>34</v>
      </c>
      <c r="U83" s="38" t="s">
        <v>156</v>
      </c>
      <c r="V83" s="16">
        <v>0</v>
      </c>
      <c r="W83" s="17">
        <v>0</v>
      </c>
      <c r="X83" s="34">
        <v>0</v>
      </c>
      <c r="Y83" s="51">
        <v>3979</v>
      </c>
      <c r="Z83" s="51">
        <v>5000651</v>
      </c>
      <c r="AA83" s="192" t="s">
        <v>156</v>
      </c>
      <c r="AB83" s="261">
        <v>45695</v>
      </c>
      <c r="AC83" s="23">
        <v>9820</v>
      </c>
      <c r="AD83" s="24" t="s">
        <v>91</v>
      </c>
      <c r="AE83" s="273" t="s">
        <v>530</v>
      </c>
      <c r="AF83" s="25">
        <v>6973.85</v>
      </c>
      <c r="AG83" s="22" t="s">
        <v>128</v>
      </c>
      <c r="AH83" s="273" t="s">
        <v>156</v>
      </c>
      <c r="AI83" s="28">
        <v>0</v>
      </c>
      <c r="AJ83" s="27" t="s">
        <v>103</v>
      </c>
      <c r="AK83" s="279" t="s">
        <v>156</v>
      </c>
      <c r="AL83" s="31">
        <v>0</v>
      </c>
      <c r="AM83" s="279" t="s">
        <v>156</v>
      </c>
      <c r="AN83" s="29">
        <v>0</v>
      </c>
      <c r="AO83" s="266" t="s">
        <v>103</v>
      </c>
      <c r="AP83" s="18" t="s">
        <v>156</v>
      </c>
      <c r="AQ83" s="18" t="s">
        <v>156</v>
      </c>
      <c r="AR83" s="30">
        <v>0</v>
      </c>
      <c r="AS83" s="26"/>
      <c r="AT83" s="19"/>
      <c r="AU83" s="14"/>
      <c r="AV83" s="40"/>
      <c r="AW83" s="14" t="str">
        <f t="shared" si="53"/>
        <v>DELLYFX001  24000090  5000651 MUESTRA</v>
      </c>
      <c r="AX83" s="14"/>
      <c r="AY83" s="14"/>
      <c r="AZ83" s="14"/>
      <c r="BA83" s="14"/>
      <c r="BB83" s="21" t="str">
        <f t="shared" si="54"/>
        <v>MUESTRA</v>
      </c>
      <c r="BD83" s="90">
        <f t="shared" si="55"/>
        <v>10084.620000000001</v>
      </c>
      <c r="BE83" s="90">
        <f t="shared" si="56"/>
        <v>1613.5392000000002</v>
      </c>
      <c r="BF83" s="90">
        <f t="shared" si="57"/>
        <v>58.490796000000003</v>
      </c>
      <c r="BG83" s="89">
        <f t="shared" si="58"/>
        <v>1672.0299960000002</v>
      </c>
    </row>
    <row r="84" spans="1:59" ht="14.45" customHeight="1" x14ac:dyDescent="0.25">
      <c r="A84" s="14" t="s">
        <v>531</v>
      </c>
      <c r="B84" s="234" t="s">
        <v>49</v>
      </c>
      <c r="C84" s="11" t="s">
        <v>119</v>
      </c>
      <c r="D84" s="18" t="s">
        <v>60</v>
      </c>
      <c r="E84" s="11" t="s">
        <v>380</v>
      </c>
      <c r="F84" s="11">
        <v>4700065595</v>
      </c>
      <c r="G84" s="11" t="s">
        <v>109</v>
      </c>
      <c r="H84" s="32" t="s">
        <v>122</v>
      </c>
      <c r="I84" s="32" t="s">
        <v>365</v>
      </c>
      <c r="J84" s="39" t="s">
        <v>381</v>
      </c>
      <c r="K84" s="11" t="s">
        <v>382</v>
      </c>
      <c r="L84" s="11" t="s">
        <v>294</v>
      </c>
      <c r="M84" s="12">
        <v>1080</v>
      </c>
      <c r="N84" s="11" t="s">
        <v>71</v>
      </c>
      <c r="O84" s="135">
        <v>45677</v>
      </c>
      <c r="P84" s="135">
        <v>45679</v>
      </c>
      <c r="Q84" s="11" t="s">
        <v>73</v>
      </c>
      <c r="R84" s="135">
        <v>45701</v>
      </c>
      <c r="S84" s="11"/>
      <c r="T84" s="15" t="s">
        <v>34</v>
      </c>
      <c r="U84" s="38" t="s">
        <v>156</v>
      </c>
      <c r="V84" s="16">
        <v>0</v>
      </c>
      <c r="W84" s="17">
        <v>0</v>
      </c>
      <c r="X84" s="34">
        <v>0</v>
      </c>
      <c r="Y84" s="51">
        <v>3979</v>
      </c>
      <c r="Z84" s="51">
        <v>5000652</v>
      </c>
      <c r="AA84" s="192" t="s">
        <v>156</v>
      </c>
      <c r="AB84" s="261">
        <v>45695</v>
      </c>
      <c r="AC84" s="23">
        <v>48097</v>
      </c>
      <c r="AD84" s="24" t="s">
        <v>91</v>
      </c>
      <c r="AE84" s="273" t="s">
        <v>98</v>
      </c>
      <c r="AF84" s="25">
        <v>0</v>
      </c>
      <c r="AG84" s="22" t="s">
        <v>128</v>
      </c>
      <c r="AH84" s="273" t="s">
        <v>156</v>
      </c>
      <c r="AI84" s="28">
        <v>0</v>
      </c>
      <c r="AJ84" s="27" t="s">
        <v>103</v>
      </c>
      <c r="AK84" s="279" t="s">
        <v>156</v>
      </c>
      <c r="AL84" s="31">
        <v>0</v>
      </c>
      <c r="AM84" s="279" t="s">
        <v>156</v>
      </c>
      <c r="AN84" s="29">
        <v>0</v>
      </c>
      <c r="AO84" s="266" t="s">
        <v>103</v>
      </c>
      <c r="AP84" s="18" t="s">
        <v>156</v>
      </c>
      <c r="AQ84" s="18" t="s">
        <v>156</v>
      </c>
      <c r="AR84" s="30">
        <v>0</v>
      </c>
      <c r="AS84" s="26"/>
      <c r="AT84" s="19"/>
      <c r="AU84" s="14"/>
      <c r="AV84" s="40"/>
      <c r="AW84" s="14" t="str">
        <f t="shared" si="53"/>
        <v>SUMMITOMO001  A24953  5000652 4700065595</v>
      </c>
      <c r="AX84" s="14"/>
      <c r="AY84" s="14"/>
      <c r="AZ84" s="14"/>
      <c r="BA84" s="14"/>
      <c r="BB84" s="21">
        <f t="shared" si="54"/>
        <v>4700065595</v>
      </c>
      <c r="BD84" s="90">
        <f t="shared" si="55"/>
        <v>22680</v>
      </c>
      <c r="BE84" s="90">
        <f t="shared" si="56"/>
        <v>3628.8</v>
      </c>
      <c r="BF84" s="90">
        <f t="shared" si="57"/>
        <v>131.54399999999998</v>
      </c>
      <c r="BG84" s="89">
        <f t="shared" si="58"/>
        <v>3760.3440000000001</v>
      </c>
    </row>
    <row r="85" spans="1:59" ht="14.45" customHeight="1" x14ac:dyDescent="0.25">
      <c r="A85" s="14"/>
      <c r="B85" s="234" t="s">
        <v>49</v>
      </c>
      <c r="C85" s="11" t="s">
        <v>119</v>
      </c>
      <c r="D85" s="18" t="s">
        <v>26</v>
      </c>
      <c r="E85" s="11" t="s">
        <v>428</v>
      </c>
      <c r="F85" s="11" t="s">
        <v>26</v>
      </c>
      <c r="G85" s="11" t="s">
        <v>116</v>
      </c>
      <c r="H85" s="32" t="s">
        <v>122</v>
      </c>
      <c r="I85" s="32" t="s">
        <v>365</v>
      </c>
      <c r="J85" s="39" t="s">
        <v>429</v>
      </c>
      <c r="K85" s="11">
        <v>36</v>
      </c>
      <c r="L85" s="11" t="s">
        <v>294</v>
      </c>
      <c r="M85" s="12">
        <v>15</v>
      </c>
      <c r="N85" s="11" t="s">
        <v>71</v>
      </c>
      <c r="O85" s="135">
        <v>45711</v>
      </c>
      <c r="P85" s="135">
        <v>45698</v>
      </c>
      <c r="Q85" s="11" t="s">
        <v>73</v>
      </c>
      <c r="R85" s="135" t="s">
        <v>99</v>
      </c>
      <c r="S85" s="11"/>
      <c r="T85" s="15" t="s">
        <v>34</v>
      </c>
      <c r="U85" s="38" t="s">
        <v>156</v>
      </c>
      <c r="V85" s="16">
        <v>0</v>
      </c>
      <c r="W85" s="17">
        <v>0</v>
      </c>
      <c r="X85" s="34">
        <v>0</v>
      </c>
      <c r="Y85" s="51">
        <v>3979</v>
      </c>
      <c r="Z85" s="51">
        <v>5000622</v>
      </c>
      <c r="AA85" s="192" t="s">
        <v>156</v>
      </c>
      <c r="AB85" s="261">
        <v>45695</v>
      </c>
      <c r="AC85" s="23">
        <v>317</v>
      </c>
      <c r="AD85" s="24" t="s">
        <v>91</v>
      </c>
      <c r="AE85" s="273" t="s">
        <v>529</v>
      </c>
      <c r="AF85" s="25">
        <v>10277.89</v>
      </c>
      <c r="AG85" s="22" t="s">
        <v>128</v>
      </c>
      <c r="AH85" s="273" t="s">
        <v>156</v>
      </c>
      <c r="AI85" s="28">
        <v>985.6</v>
      </c>
      <c r="AJ85" s="27" t="s">
        <v>103</v>
      </c>
      <c r="AK85" s="279" t="s">
        <v>156</v>
      </c>
      <c r="AL85" s="31">
        <v>0</v>
      </c>
      <c r="AM85" s="279" t="s">
        <v>156</v>
      </c>
      <c r="AN85" s="29">
        <v>0</v>
      </c>
      <c r="AO85" s="266" t="s">
        <v>103</v>
      </c>
      <c r="AP85" s="18" t="s">
        <v>156</v>
      </c>
      <c r="AQ85" s="18" t="s">
        <v>156</v>
      </c>
      <c r="AR85" s="30">
        <v>0</v>
      </c>
      <c r="AS85" s="26"/>
      <c r="AT85" s="19"/>
      <c r="AU85" s="14"/>
      <c r="AV85" s="40">
        <v>45706</v>
      </c>
      <c r="AW85" s="14" t="str">
        <f t="shared" si="53"/>
        <v>B&amp;BFX002  36  5000622 MUESTRA</v>
      </c>
      <c r="AX85" s="14"/>
      <c r="AY85" s="14"/>
      <c r="AZ85" s="14"/>
      <c r="BA85" s="14"/>
      <c r="BB85" s="21" t="str">
        <f t="shared" si="54"/>
        <v>MUESTRA</v>
      </c>
      <c r="BD85" s="90">
        <f t="shared" si="55"/>
        <v>315</v>
      </c>
      <c r="BE85" s="90">
        <f t="shared" si="56"/>
        <v>50.4</v>
      </c>
      <c r="BF85" s="90">
        <f t="shared" si="57"/>
        <v>1.827</v>
      </c>
      <c r="BG85" s="89">
        <f t="shared" si="58"/>
        <v>52.226999999999997</v>
      </c>
    </row>
    <row r="86" spans="1:59" ht="14.45" customHeight="1" x14ac:dyDescent="0.25">
      <c r="A86" s="14"/>
      <c r="B86" s="234" t="s">
        <v>49</v>
      </c>
      <c r="C86" s="11" t="s">
        <v>119</v>
      </c>
      <c r="D86" s="18" t="s">
        <v>62</v>
      </c>
      <c r="E86" s="11" t="s">
        <v>434</v>
      </c>
      <c r="F86" s="11">
        <v>4700066780</v>
      </c>
      <c r="G86" s="11" t="s">
        <v>116</v>
      </c>
      <c r="H86" s="32" t="s">
        <v>122</v>
      </c>
      <c r="I86" s="32" t="s">
        <v>365</v>
      </c>
      <c r="J86" s="39" t="s">
        <v>435</v>
      </c>
      <c r="K86" s="11">
        <v>10004099</v>
      </c>
      <c r="L86" s="11" t="s">
        <v>294</v>
      </c>
      <c r="M86" s="12">
        <v>5154.74</v>
      </c>
      <c r="N86" s="11" t="s">
        <v>71</v>
      </c>
      <c r="O86" s="135">
        <v>45694</v>
      </c>
      <c r="P86" s="135">
        <v>45698</v>
      </c>
      <c r="Q86" s="11" t="s">
        <v>83</v>
      </c>
      <c r="R86" s="135" t="s">
        <v>99</v>
      </c>
      <c r="S86" s="11" t="s">
        <v>488</v>
      </c>
      <c r="T86" s="15" t="s">
        <v>34</v>
      </c>
      <c r="U86" s="38" t="s">
        <v>156</v>
      </c>
      <c r="V86" s="16">
        <v>0</v>
      </c>
      <c r="W86" s="17">
        <v>0</v>
      </c>
      <c r="X86" s="34">
        <v>0</v>
      </c>
      <c r="Y86" s="51" t="s">
        <v>309</v>
      </c>
      <c r="Z86" s="51" t="s">
        <v>309</v>
      </c>
      <c r="AA86" s="192" t="s">
        <v>156</v>
      </c>
      <c r="AB86" s="261" t="s">
        <v>309</v>
      </c>
      <c r="AC86" s="23">
        <v>0</v>
      </c>
      <c r="AD86" s="24" t="s">
        <v>91</v>
      </c>
      <c r="AE86" s="273" t="s">
        <v>98</v>
      </c>
      <c r="AF86" s="25">
        <v>0</v>
      </c>
      <c r="AG86" s="22" t="s">
        <v>128</v>
      </c>
      <c r="AH86" s="273" t="s">
        <v>156</v>
      </c>
      <c r="AI86" s="28">
        <v>0</v>
      </c>
      <c r="AJ86" s="27" t="s">
        <v>103</v>
      </c>
      <c r="AK86" s="279" t="s">
        <v>156</v>
      </c>
      <c r="AL86" s="31">
        <v>0</v>
      </c>
      <c r="AM86" s="279" t="s">
        <v>156</v>
      </c>
      <c r="AN86" s="29">
        <v>0</v>
      </c>
      <c r="AO86" s="266" t="s">
        <v>103</v>
      </c>
      <c r="AP86" s="18" t="s">
        <v>156</v>
      </c>
      <c r="AQ86" s="18" t="s">
        <v>156</v>
      </c>
      <c r="AR86" s="30">
        <v>0</v>
      </c>
      <c r="AS86" s="26"/>
      <c r="AT86" s="19"/>
      <c r="AU86" s="14"/>
      <c r="AV86" s="40"/>
      <c r="AW86" s="14" t="str">
        <f t="shared" si="53"/>
        <v>B&amp;BCAB002  10004099  n/d 4700066780</v>
      </c>
      <c r="AX86" s="14"/>
      <c r="AY86" s="14"/>
      <c r="AZ86" s="14"/>
      <c r="BA86" s="14"/>
      <c r="BB86" s="21">
        <f t="shared" si="54"/>
        <v>4700066780</v>
      </c>
      <c r="BD86" s="90">
        <f t="shared" si="55"/>
        <v>108249.54</v>
      </c>
      <c r="BE86" s="90">
        <f t="shared" si="56"/>
        <v>17319.9264</v>
      </c>
      <c r="BF86" s="90">
        <f t="shared" si="57"/>
        <v>627.84733199999994</v>
      </c>
      <c r="BG86" s="89">
        <f t="shared" si="58"/>
        <v>17947.773732000001</v>
      </c>
    </row>
    <row r="87" spans="1:59" ht="14.45" customHeight="1" x14ac:dyDescent="0.25">
      <c r="A87" s="14"/>
      <c r="B87" s="234" t="s">
        <v>49</v>
      </c>
      <c r="C87" s="11" t="s">
        <v>119</v>
      </c>
      <c r="D87" s="18" t="s">
        <v>26</v>
      </c>
      <c r="E87" s="11" t="s">
        <v>472</v>
      </c>
      <c r="F87" s="11" t="s">
        <v>26</v>
      </c>
      <c r="G87" s="11" t="s">
        <v>126</v>
      </c>
      <c r="H87" s="32" t="s">
        <v>122</v>
      </c>
      <c r="I87" s="32" t="s">
        <v>365</v>
      </c>
      <c r="J87" s="39" t="s">
        <v>473</v>
      </c>
      <c r="K87" s="11" t="s">
        <v>474</v>
      </c>
      <c r="L87" s="11" t="s">
        <v>294</v>
      </c>
      <c r="M87" s="12">
        <v>1</v>
      </c>
      <c r="N87" s="11" t="s">
        <v>71</v>
      </c>
      <c r="O87" s="135">
        <v>45692</v>
      </c>
      <c r="P87" s="135">
        <v>45698</v>
      </c>
      <c r="Q87" s="11" t="s">
        <v>83</v>
      </c>
      <c r="R87" s="135" t="s">
        <v>99</v>
      </c>
      <c r="S87" s="11" t="s">
        <v>489</v>
      </c>
      <c r="T87" s="15" t="s">
        <v>34</v>
      </c>
      <c r="U87" s="38" t="s">
        <v>156</v>
      </c>
      <c r="V87" s="16">
        <v>0</v>
      </c>
      <c r="W87" s="17">
        <v>0</v>
      </c>
      <c r="X87" s="34">
        <v>0</v>
      </c>
      <c r="Y87" s="51" t="s">
        <v>309</v>
      </c>
      <c r="Z87" s="51" t="s">
        <v>309</v>
      </c>
      <c r="AA87" s="192" t="s">
        <v>156</v>
      </c>
      <c r="AB87" s="261" t="s">
        <v>309</v>
      </c>
      <c r="AC87" s="23">
        <v>0</v>
      </c>
      <c r="AD87" s="24" t="s">
        <v>91</v>
      </c>
      <c r="AE87" s="273" t="s">
        <v>98</v>
      </c>
      <c r="AF87" s="25">
        <v>0</v>
      </c>
      <c r="AG87" s="22" t="s">
        <v>128</v>
      </c>
      <c r="AH87" s="273" t="s">
        <v>156</v>
      </c>
      <c r="AI87" s="28">
        <v>0</v>
      </c>
      <c r="AJ87" s="27" t="s">
        <v>103</v>
      </c>
      <c r="AK87" s="279" t="s">
        <v>156</v>
      </c>
      <c r="AL87" s="31">
        <v>0</v>
      </c>
      <c r="AM87" s="279" t="s">
        <v>156</v>
      </c>
      <c r="AN87" s="29">
        <v>0</v>
      </c>
      <c r="AO87" s="266" t="s">
        <v>103</v>
      </c>
      <c r="AP87" s="18" t="s">
        <v>156</v>
      </c>
      <c r="AQ87" s="18" t="s">
        <v>156</v>
      </c>
      <c r="AR87" s="30">
        <v>0</v>
      </c>
      <c r="AS87" s="26"/>
      <c r="AT87" s="19"/>
      <c r="AU87" s="14"/>
      <c r="AV87" s="40"/>
      <c r="AW87" s="14" t="str">
        <f t="shared" si="53"/>
        <v>CAPUANI001  002-25  n/d MUESTRA</v>
      </c>
      <c r="AX87" s="14"/>
      <c r="AY87" s="14"/>
      <c r="AZ87" s="14"/>
      <c r="BA87" s="14"/>
      <c r="BB87" s="21" t="str">
        <f t="shared" si="54"/>
        <v>MUESTRA</v>
      </c>
      <c r="BD87" s="90">
        <f t="shared" si="55"/>
        <v>21</v>
      </c>
      <c r="BE87" s="90">
        <f t="shared" si="56"/>
        <v>3.36</v>
      </c>
      <c r="BF87" s="90">
        <f t="shared" si="57"/>
        <v>0.12179999999999999</v>
      </c>
      <c r="BG87" s="89">
        <f t="shared" si="58"/>
        <v>3.4817999999999998</v>
      </c>
    </row>
    <row r="88" spans="1:59" ht="14.45" customHeight="1" x14ac:dyDescent="0.25">
      <c r="A88" s="14"/>
      <c r="B88" s="234" t="s">
        <v>49</v>
      </c>
      <c r="C88" s="11" t="s">
        <v>119</v>
      </c>
      <c r="D88" s="18" t="s">
        <v>26</v>
      </c>
      <c r="E88" s="11" t="s">
        <v>425</v>
      </c>
      <c r="F88" s="11" t="s">
        <v>26</v>
      </c>
      <c r="G88" s="11" t="s">
        <v>109</v>
      </c>
      <c r="H88" s="32" t="s">
        <v>122</v>
      </c>
      <c r="I88" s="32" t="s">
        <v>365</v>
      </c>
      <c r="J88" s="39" t="s">
        <v>426</v>
      </c>
      <c r="K88" s="11" t="s">
        <v>427</v>
      </c>
      <c r="L88" s="11" t="s">
        <v>294</v>
      </c>
      <c r="M88" s="12">
        <v>1</v>
      </c>
      <c r="N88" s="11" t="s">
        <v>71</v>
      </c>
      <c r="O88" s="135">
        <v>45677</v>
      </c>
      <c r="P88" s="135">
        <v>45701</v>
      </c>
      <c r="Q88" s="11" t="s">
        <v>73</v>
      </c>
      <c r="R88" s="135">
        <v>45702</v>
      </c>
      <c r="S88" s="11"/>
      <c r="T88" s="15" t="s">
        <v>34</v>
      </c>
      <c r="U88" s="38" t="s">
        <v>156</v>
      </c>
      <c r="V88" s="16">
        <v>0</v>
      </c>
      <c r="W88" s="17">
        <v>0</v>
      </c>
      <c r="X88" s="34">
        <v>0</v>
      </c>
      <c r="Y88" s="51">
        <v>3979</v>
      </c>
      <c r="Z88" s="51">
        <v>5000699</v>
      </c>
      <c r="AA88" s="192"/>
      <c r="AB88" s="261">
        <v>45700</v>
      </c>
      <c r="AC88" s="23">
        <v>736</v>
      </c>
      <c r="AD88" s="24" t="s">
        <v>91</v>
      </c>
      <c r="AE88" s="273" t="s">
        <v>533</v>
      </c>
      <c r="AF88" s="25">
        <v>9780.2000000000007</v>
      </c>
      <c r="AG88" s="22" t="s">
        <v>128</v>
      </c>
      <c r="AH88" s="273" t="s">
        <v>156</v>
      </c>
      <c r="AI88" s="28">
        <v>1084.1600000000001</v>
      </c>
      <c r="AJ88" s="27" t="s">
        <v>103</v>
      </c>
      <c r="AK88" s="279" t="s">
        <v>156</v>
      </c>
      <c r="AL88" s="31">
        <v>0</v>
      </c>
      <c r="AM88" s="279" t="s">
        <v>156</v>
      </c>
      <c r="AN88" s="29">
        <v>0</v>
      </c>
      <c r="AO88" s="266" t="s">
        <v>103</v>
      </c>
      <c r="AP88" s="18" t="s">
        <v>156</v>
      </c>
      <c r="AQ88" s="18" t="s">
        <v>156</v>
      </c>
      <c r="AR88" s="30">
        <v>0</v>
      </c>
      <c r="AS88" s="26"/>
      <c r="AT88" s="19"/>
      <c r="AU88" s="14"/>
      <c r="AV88" s="40">
        <v>45706</v>
      </c>
      <c r="AW88" s="14" t="str">
        <f t="shared" si="53"/>
        <v>PLASTUBEFX001  F771791619710  5000699 MUESTRA</v>
      </c>
      <c r="AX88" s="14"/>
      <c r="AY88" s="14"/>
      <c r="AZ88" s="14"/>
      <c r="BA88" s="14"/>
      <c r="BB88" s="21" t="str">
        <f t="shared" si="54"/>
        <v>MUESTRA</v>
      </c>
      <c r="BD88" s="90">
        <f t="shared" si="55"/>
        <v>21</v>
      </c>
      <c r="BE88" s="90">
        <f t="shared" si="56"/>
        <v>3.36</v>
      </c>
      <c r="BF88" s="90">
        <f t="shared" si="57"/>
        <v>0.12179999999999999</v>
      </c>
      <c r="BG88" s="89">
        <f t="shared" si="58"/>
        <v>3.4817999999999998</v>
      </c>
    </row>
    <row r="89" spans="1:59" ht="14.45" customHeight="1" x14ac:dyDescent="0.25">
      <c r="A89" s="14"/>
      <c r="B89" s="234" t="s">
        <v>49</v>
      </c>
      <c r="C89" s="11" t="s">
        <v>119</v>
      </c>
      <c r="D89" s="18" t="s">
        <v>26</v>
      </c>
      <c r="E89" s="11" t="s">
        <v>422</v>
      </c>
      <c r="F89" s="11" t="s">
        <v>26</v>
      </c>
      <c r="G89" s="11" t="s">
        <v>126</v>
      </c>
      <c r="H89" s="32" t="s">
        <v>122</v>
      </c>
      <c r="I89" s="32" t="s">
        <v>365</v>
      </c>
      <c r="J89" s="39" t="s">
        <v>423</v>
      </c>
      <c r="K89" s="11">
        <v>27000002</v>
      </c>
      <c r="L89" s="11" t="s">
        <v>294</v>
      </c>
      <c r="M89" s="12">
        <v>1</v>
      </c>
      <c r="N89" s="11" t="s">
        <v>71</v>
      </c>
      <c r="O89" s="135">
        <v>45687</v>
      </c>
      <c r="P89" s="135">
        <v>45702</v>
      </c>
      <c r="Q89" s="11" t="s">
        <v>83</v>
      </c>
      <c r="R89" s="135" t="s">
        <v>99</v>
      </c>
      <c r="S89" s="11" t="s">
        <v>424</v>
      </c>
      <c r="T89" s="15" t="s">
        <v>34</v>
      </c>
      <c r="U89" s="38" t="s">
        <v>156</v>
      </c>
      <c r="V89" s="16">
        <v>0</v>
      </c>
      <c r="W89" s="17">
        <v>0</v>
      </c>
      <c r="X89" s="34">
        <v>0</v>
      </c>
      <c r="Y89" s="51" t="s">
        <v>309</v>
      </c>
      <c r="Z89" s="51" t="s">
        <v>309</v>
      </c>
      <c r="AA89" s="192" t="s">
        <v>156</v>
      </c>
      <c r="AB89" s="261" t="s">
        <v>309</v>
      </c>
      <c r="AC89" s="23">
        <v>0</v>
      </c>
      <c r="AD89" s="24" t="s">
        <v>91</v>
      </c>
      <c r="AE89" s="273" t="s">
        <v>98</v>
      </c>
      <c r="AF89" s="25">
        <v>0</v>
      </c>
      <c r="AG89" s="22" t="s">
        <v>128</v>
      </c>
      <c r="AH89" s="273" t="s">
        <v>156</v>
      </c>
      <c r="AI89" s="28">
        <v>0</v>
      </c>
      <c r="AJ89" s="27" t="s">
        <v>103</v>
      </c>
      <c r="AK89" s="279" t="s">
        <v>156</v>
      </c>
      <c r="AL89" s="31">
        <v>0</v>
      </c>
      <c r="AM89" s="279" t="s">
        <v>156</v>
      </c>
      <c r="AN89" s="29">
        <v>0</v>
      </c>
      <c r="AO89" s="266" t="s">
        <v>103</v>
      </c>
      <c r="AP89" s="18" t="s">
        <v>156</v>
      </c>
      <c r="AQ89" s="18" t="s">
        <v>156</v>
      </c>
      <c r="AR89" s="30">
        <v>0</v>
      </c>
      <c r="AS89" s="26"/>
      <c r="AT89" s="19"/>
      <c r="AU89" s="14"/>
      <c r="AV89" s="40"/>
      <c r="AW89" s="14" t="str">
        <f t="shared" si="53"/>
        <v>DELLYFX002 27000002  n/d MUESTRA</v>
      </c>
      <c r="AX89" s="14"/>
      <c r="AY89" s="14"/>
      <c r="AZ89" s="14"/>
      <c r="BA89" s="14"/>
      <c r="BB89" s="21" t="str">
        <f t="shared" si="54"/>
        <v>MUESTRA</v>
      </c>
      <c r="BD89" s="90">
        <f t="shared" si="55"/>
        <v>21</v>
      </c>
      <c r="BE89" s="90">
        <f t="shared" si="56"/>
        <v>3.36</v>
      </c>
      <c r="BF89" s="90">
        <f t="shared" si="57"/>
        <v>0.12179999999999999</v>
      </c>
      <c r="BG89" s="89">
        <f t="shared" si="58"/>
        <v>3.4817999999999998</v>
      </c>
    </row>
    <row r="90" spans="1:59" ht="14.45" customHeight="1" x14ac:dyDescent="0.25">
      <c r="A90" s="14"/>
      <c r="B90" s="234" t="s">
        <v>49</v>
      </c>
      <c r="C90" s="11" t="s">
        <v>119</v>
      </c>
      <c r="D90" s="18" t="s">
        <v>60</v>
      </c>
      <c r="E90" s="11" t="s">
        <v>468</v>
      </c>
      <c r="F90" s="11" t="s">
        <v>157</v>
      </c>
      <c r="G90" s="11" t="s">
        <v>116</v>
      </c>
      <c r="H90" s="32" t="s">
        <v>122</v>
      </c>
      <c r="I90" s="32" t="s">
        <v>365</v>
      </c>
      <c r="J90" s="39" t="s">
        <v>469</v>
      </c>
      <c r="K90" s="11">
        <v>10004733</v>
      </c>
      <c r="L90" s="11" t="s">
        <v>294</v>
      </c>
      <c r="M90" s="12">
        <v>947.21</v>
      </c>
      <c r="N90" s="11" t="s">
        <v>71</v>
      </c>
      <c r="O90" s="135">
        <v>45700</v>
      </c>
      <c r="P90" s="135">
        <v>45702</v>
      </c>
      <c r="Q90" s="11" t="s">
        <v>83</v>
      </c>
      <c r="R90" s="135" t="s">
        <v>99</v>
      </c>
      <c r="S90" s="11" t="s">
        <v>424</v>
      </c>
      <c r="T90" s="15" t="s">
        <v>34</v>
      </c>
      <c r="U90" s="38" t="s">
        <v>156</v>
      </c>
      <c r="V90" s="16">
        <v>0</v>
      </c>
      <c r="W90" s="17">
        <v>0</v>
      </c>
      <c r="X90" s="34">
        <v>0</v>
      </c>
      <c r="Y90" s="51" t="s">
        <v>309</v>
      </c>
      <c r="Z90" s="51" t="s">
        <v>309</v>
      </c>
      <c r="AA90" s="192" t="s">
        <v>156</v>
      </c>
      <c r="AB90" s="261" t="s">
        <v>309</v>
      </c>
      <c r="AC90" s="23">
        <v>0</v>
      </c>
      <c r="AD90" s="24" t="s">
        <v>91</v>
      </c>
      <c r="AE90" s="273" t="s">
        <v>98</v>
      </c>
      <c r="AF90" s="25">
        <v>0</v>
      </c>
      <c r="AG90" s="22" t="s">
        <v>128</v>
      </c>
      <c r="AH90" s="273" t="s">
        <v>156</v>
      </c>
      <c r="AI90" s="28">
        <v>0</v>
      </c>
      <c r="AJ90" s="27" t="s">
        <v>103</v>
      </c>
      <c r="AK90" s="279" t="s">
        <v>156</v>
      </c>
      <c r="AL90" s="31">
        <v>0</v>
      </c>
      <c r="AM90" s="279" t="s">
        <v>156</v>
      </c>
      <c r="AN90" s="29">
        <v>0</v>
      </c>
      <c r="AO90" s="266" t="s">
        <v>103</v>
      </c>
      <c r="AP90" s="18" t="s">
        <v>156</v>
      </c>
      <c r="AQ90" s="18" t="s">
        <v>156</v>
      </c>
      <c r="AR90" s="30">
        <v>0</v>
      </c>
      <c r="AS90" s="26"/>
      <c r="AT90" s="19"/>
      <c r="AU90" s="14"/>
      <c r="AV90" s="40"/>
      <c r="AW90" s="14" t="str">
        <f t="shared" si="53"/>
        <v>B&amp;BFX004 10004733  n/d N/D</v>
      </c>
      <c r="AX90" s="14"/>
      <c r="AY90" s="14"/>
      <c r="AZ90" s="14"/>
      <c r="BA90" s="14"/>
      <c r="BB90" s="21" t="str">
        <f t="shared" si="54"/>
        <v>N/D</v>
      </c>
      <c r="BD90" s="90">
        <f t="shared" si="55"/>
        <v>19891.41</v>
      </c>
      <c r="BE90" s="90">
        <f t="shared" si="56"/>
        <v>3182.6255999999998</v>
      </c>
      <c r="BF90" s="90">
        <f t="shared" si="57"/>
        <v>115.370178</v>
      </c>
      <c r="BG90" s="89">
        <f t="shared" si="58"/>
        <v>3297.995778</v>
      </c>
    </row>
    <row r="91" spans="1:59" ht="14.45" customHeight="1" x14ac:dyDescent="0.25">
      <c r="A91" s="14"/>
      <c r="B91" s="234" t="s">
        <v>49</v>
      </c>
      <c r="C91" s="11" t="s">
        <v>119</v>
      </c>
      <c r="D91" s="18" t="s">
        <v>26</v>
      </c>
      <c r="E91" s="11" t="s">
        <v>470</v>
      </c>
      <c r="F91" s="11" t="s">
        <v>26</v>
      </c>
      <c r="G91" s="11" t="s">
        <v>116</v>
      </c>
      <c r="H91" s="32" t="s">
        <v>122</v>
      </c>
      <c r="I91" s="32" t="s">
        <v>365</v>
      </c>
      <c r="J91" s="39" t="s">
        <v>471</v>
      </c>
      <c r="K91" s="11">
        <v>129</v>
      </c>
      <c r="L91" s="11" t="s">
        <v>294</v>
      </c>
      <c r="M91" s="12">
        <v>3</v>
      </c>
      <c r="N91" s="11" t="s">
        <v>71</v>
      </c>
      <c r="O91" s="135">
        <v>45705</v>
      </c>
      <c r="P91" s="135">
        <v>45712</v>
      </c>
      <c r="Q91" s="11" t="s">
        <v>75</v>
      </c>
      <c r="R91" s="135" t="s">
        <v>99</v>
      </c>
      <c r="S91" s="11"/>
      <c r="T91" s="15" t="s">
        <v>34</v>
      </c>
      <c r="U91" s="38" t="s">
        <v>156</v>
      </c>
      <c r="V91" s="16">
        <v>0</v>
      </c>
      <c r="W91" s="17">
        <v>0</v>
      </c>
      <c r="X91" s="34">
        <v>0</v>
      </c>
      <c r="Y91" s="51" t="s">
        <v>309</v>
      </c>
      <c r="Z91" s="51" t="s">
        <v>309</v>
      </c>
      <c r="AA91" s="192" t="s">
        <v>156</v>
      </c>
      <c r="AB91" s="261" t="s">
        <v>309</v>
      </c>
      <c r="AC91" s="23">
        <v>0</v>
      </c>
      <c r="AD91" s="24" t="s">
        <v>91</v>
      </c>
      <c r="AE91" s="273" t="s">
        <v>98</v>
      </c>
      <c r="AF91" s="25">
        <v>0</v>
      </c>
      <c r="AG91" s="22" t="s">
        <v>128</v>
      </c>
      <c r="AH91" s="273" t="s">
        <v>156</v>
      </c>
      <c r="AI91" s="28">
        <v>0</v>
      </c>
      <c r="AJ91" s="27" t="s">
        <v>103</v>
      </c>
      <c r="AK91" s="279" t="s">
        <v>156</v>
      </c>
      <c r="AL91" s="31">
        <v>0</v>
      </c>
      <c r="AM91" s="279" t="s">
        <v>156</v>
      </c>
      <c r="AN91" s="29">
        <v>0</v>
      </c>
      <c r="AO91" s="266" t="s">
        <v>103</v>
      </c>
      <c r="AP91" s="18" t="s">
        <v>156</v>
      </c>
      <c r="AQ91" s="18" t="s">
        <v>156</v>
      </c>
      <c r="AR91" s="30">
        <v>0</v>
      </c>
      <c r="AS91" s="26"/>
      <c r="AT91" s="19"/>
      <c r="AU91" s="14"/>
      <c r="AV91" s="40"/>
      <c r="AW91" s="14" t="str">
        <f t="shared" si="53"/>
        <v>B&amp;BFX005 129  n/d MUESTRA</v>
      </c>
      <c r="AX91" s="14"/>
      <c r="AY91" s="14"/>
      <c r="AZ91" s="14"/>
      <c r="BA91" s="14"/>
      <c r="BB91" s="21" t="str">
        <f t="shared" si="54"/>
        <v>MUESTRA</v>
      </c>
      <c r="BD91" s="90">
        <f t="shared" si="55"/>
        <v>63</v>
      </c>
      <c r="BE91" s="90">
        <f t="shared" si="56"/>
        <v>10.08</v>
      </c>
      <c r="BF91" s="90">
        <f t="shared" si="57"/>
        <v>0.36539999999999995</v>
      </c>
      <c r="BG91" s="89">
        <f t="shared" si="58"/>
        <v>10.445399999999999</v>
      </c>
    </row>
    <row r="92" spans="1:59" ht="14.45" customHeight="1" x14ac:dyDescent="0.25">
      <c r="A92" s="14"/>
      <c r="B92" s="234" t="s">
        <v>49</v>
      </c>
      <c r="C92" s="11" t="s">
        <v>119</v>
      </c>
      <c r="D92" s="18" t="s">
        <v>26</v>
      </c>
      <c r="E92" s="11" t="s">
        <v>480</v>
      </c>
      <c r="F92" s="11" t="s">
        <v>26</v>
      </c>
      <c r="G92" s="11" t="s">
        <v>116</v>
      </c>
      <c r="H92" s="32" t="s">
        <v>122</v>
      </c>
      <c r="I92" s="32" t="s">
        <v>365</v>
      </c>
      <c r="J92" s="39" t="s">
        <v>481</v>
      </c>
      <c r="K92" s="11" t="s">
        <v>482</v>
      </c>
      <c r="L92" s="11" t="s">
        <v>294</v>
      </c>
      <c r="M92" s="12">
        <v>221.12</v>
      </c>
      <c r="N92" s="11" t="s">
        <v>71</v>
      </c>
      <c r="O92" s="135">
        <v>45706</v>
      </c>
      <c r="P92" s="135">
        <v>45713</v>
      </c>
      <c r="Q92" s="11" t="s">
        <v>75</v>
      </c>
      <c r="R92" s="135" t="s">
        <v>99</v>
      </c>
      <c r="S92" s="11"/>
      <c r="T92" s="15" t="s">
        <v>34</v>
      </c>
      <c r="U92" s="38" t="s">
        <v>156</v>
      </c>
      <c r="V92" s="16">
        <v>0</v>
      </c>
      <c r="W92" s="17">
        <v>0</v>
      </c>
      <c r="X92" s="34">
        <v>0</v>
      </c>
      <c r="Y92" s="51" t="s">
        <v>309</v>
      </c>
      <c r="Z92" s="51" t="s">
        <v>309</v>
      </c>
      <c r="AA92" s="192" t="s">
        <v>156</v>
      </c>
      <c r="AB92" s="261" t="s">
        <v>309</v>
      </c>
      <c r="AC92" s="23">
        <v>0</v>
      </c>
      <c r="AD92" s="24" t="s">
        <v>91</v>
      </c>
      <c r="AE92" s="273" t="s">
        <v>98</v>
      </c>
      <c r="AF92" s="25">
        <v>0</v>
      </c>
      <c r="AG92" s="22" t="s">
        <v>128</v>
      </c>
      <c r="AH92" s="273" t="s">
        <v>156</v>
      </c>
      <c r="AI92" s="28">
        <v>0</v>
      </c>
      <c r="AJ92" s="27" t="s">
        <v>103</v>
      </c>
      <c r="AK92" s="279" t="s">
        <v>156</v>
      </c>
      <c r="AL92" s="31">
        <v>0</v>
      </c>
      <c r="AM92" s="279" t="s">
        <v>156</v>
      </c>
      <c r="AN92" s="29">
        <v>0</v>
      </c>
      <c r="AO92" s="266" t="s">
        <v>103</v>
      </c>
      <c r="AP92" s="18" t="s">
        <v>156</v>
      </c>
      <c r="AQ92" s="18" t="s">
        <v>156</v>
      </c>
      <c r="AR92" s="30">
        <v>0</v>
      </c>
      <c r="AS92" s="26"/>
      <c r="AT92" s="19"/>
      <c r="AU92" s="14"/>
      <c r="AV92" s="40"/>
      <c r="AW92" s="14" t="str">
        <f t="shared" si="53"/>
        <v>TRICOBIOTOS001  F-0000053P  n/d MUESTRA</v>
      </c>
      <c r="AX92" s="14"/>
      <c r="AY92" s="14"/>
      <c r="AZ92" s="14"/>
      <c r="BA92" s="14"/>
      <c r="BB92" s="21" t="str">
        <f t="shared" si="54"/>
        <v>MUESTRA</v>
      </c>
      <c r="BD92" s="90">
        <f t="shared" si="55"/>
        <v>4643.5200000000004</v>
      </c>
      <c r="BE92" s="90">
        <f t="shared" si="56"/>
        <v>742.96320000000003</v>
      </c>
      <c r="BF92" s="90">
        <f t="shared" si="57"/>
        <v>26.932416</v>
      </c>
      <c r="BG92" s="89">
        <f t="shared" si="58"/>
        <v>769.89561600000002</v>
      </c>
    </row>
  </sheetData>
  <sortState ref="A78:BG90">
    <sortCondition ref="P78:P90"/>
  </sortState>
  <mergeCells count="7">
    <mergeCell ref="AO1:AR1"/>
    <mergeCell ref="AV1:AW1"/>
    <mergeCell ref="T1:X1"/>
    <mergeCell ref="Y1:AC1"/>
    <mergeCell ref="AD1:AF1"/>
    <mergeCell ref="AG1:AI1"/>
    <mergeCell ref="AM1:AN1"/>
  </mergeCells>
  <conditionalFormatting sqref="A1 T1:XFD1">
    <cfRule type="containsText" dxfId="7605" priority="27245" operator="containsText" text="ENTREGADO">
      <formula>NOT(ISERROR(SEARCH("ENTREGADO",#REF!)))</formula>
    </cfRule>
    <cfRule type="containsText" dxfId="7604" priority="27244" operator="containsText" text="PENDIENTE">
      <formula>NOT(ISERROR(SEARCH("PENDIENTE",#REF!)))</formula>
    </cfRule>
  </conditionalFormatting>
  <conditionalFormatting sqref="A1">
    <cfRule type="containsText" dxfId="7603" priority="27249" operator="containsText" text="PRIORIDAD">
      <formula>NOT(ISERROR(SEARCH("PRIORIDAD",#REF!)))</formula>
    </cfRule>
    <cfRule type="containsText" dxfId="7602" priority="27250" operator="containsText" text="ENTREGADO">
      <formula>NOT(ISERROR(SEARCH("ENTREGADO",#REF!)))</formula>
    </cfRule>
  </conditionalFormatting>
  <conditionalFormatting sqref="A3 E3 F24:F26 C24:D32 C57:D58 F57:H58 J57:N58 C71:F71 AD24:AG24 AI24:AL24 AN24:AO24 AR24:AW24 BD24:BG24 BD27:BG32 T3 BH3:XFD3 C34:E38 C62:H69 J62:N69 AR62:XFD69 AN62:AO69 AI62:AL69 AD62:AG69 T62:X69">
    <cfRule type="containsText" dxfId="7601" priority="21183" operator="containsText" text="PENDIENTE">
      <formula>NOT(ISERROR(SEARCH("PENDIENTE",#REF!)))</formula>
    </cfRule>
  </conditionalFormatting>
  <conditionalFormatting sqref="A3 E3 T24 AX24:BC24 F24:H26 J24:P26 BH24:XFD26 B24:D32 B34:D35 C57:D58 F71 AD71:AG71 AI71:AL71 AN71:AO71 AR71:BA71 C36:D38 C71:D71 R24:R26 C62:F62 I56:I58 O56:O58 O52:O53 C51:D54 F51:N54 C63:H69 J63:N69 BH62:XFD69 AR62:BC69 AN62:AO69 AI62:AL69 AD62:AG69 T62:X69">
    <cfRule type="containsText" dxfId="7600" priority="21178" operator="containsText" text="ENTREGADO">
      <formula>NOT(ISERROR(SEARCH("ENTREGADO",A3)))</formula>
    </cfRule>
  </conditionalFormatting>
  <conditionalFormatting sqref="A3:A4 F57:H58 C57:D58 AD24:AG24 F24:F27 C24:D32 BD24:BG24 BD27:BG32 AI24:AL24 AN24:AO24 AR24:AW24 BD34:BG38 C34:D38 J57:N58 J71:N71 C71:D71 F71:H71 J51:N54 C51:D54 F51:H54 F62:H69 C62:D69 J62:N69 AR62:XFD69 AN62:AO69 AI62:AL69 T62:X69 AD62:AG69">
    <cfRule type="containsText" dxfId="7599" priority="18828" operator="containsText" text="ENTREGADO">
      <formula>NOT(ISERROR(SEARCH("ENTREGADO",#REF!)))</formula>
    </cfRule>
  </conditionalFormatting>
  <conditionalFormatting sqref="A4 D4 T24 G24:H26 AX24:BC24 BH24:XFD26 A24:A26">
    <cfRule type="containsText" dxfId="7598" priority="18833" operator="containsText" text="PENDIENTE">
      <formula>NOT(ISERROR(SEARCH("PENDIENTE",#REF!)))</formula>
    </cfRule>
  </conditionalFormatting>
  <conditionalFormatting sqref="A4 D4:E4 G4:N4 AD24:AG24 AI24:AL24 AN24:AO24 AR24:BG24 F24:H26 C24:D30 BD27:BG32 BD34:BG38 C62:F62 F71 A24:A26 BH24:XFD27 T24 K24:P26 B24:B32 E34:E38 C56:D56 C51:D54 J51:N54 F51:H54 C63:H69 J63:O69 AR62:XFD69 AN62:AO69 AI62:AL69 AD62:AG69 T62:X69">
    <cfRule type="containsText" dxfId="7597" priority="18834" operator="containsText" text="PENDIENTE">
      <formula>NOT(ISERROR(SEARCH("PENDIENTE",A4)))</formula>
    </cfRule>
  </conditionalFormatting>
  <conditionalFormatting sqref="A4 D4:E4 P4 Q56 Q52:Q53 AD56:AG56 AD52:AG53 AI56:AL56 AI52:AL53 AN56:AO56 AN52:AO53 BC56 BC52:BC53 F56:H56 J56:N56 C51:D54 J51:N54 AR51:BA54 F51:H54">
    <cfRule type="containsText" dxfId="7596" priority="18835" operator="containsText" text="ENTREGADO">
      <formula>NOT(ISERROR(SEARCH("ENTREGADO",A4)))</formula>
    </cfRule>
  </conditionalFormatting>
  <conditionalFormatting sqref="A4">
    <cfRule type="containsText" dxfId="7595" priority="18846" operator="containsText" text="PENDIENTE">
      <formula>NOT(ISERROR(SEARCH("PENDIENTE",A4)))</formula>
    </cfRule>
    <cfRule type="containsText" dxfId="7594" priority="18767" operator="containsText" text="ENTREGADO">
      <formula>NOT(ISERROR(SEARCH("ENTREGADO",A4)))</formula>
    </cfRule>
    <cfRule type="containsText" dxfId="7593" priority="18819" operator="containsText" text="ENTREGADO">
      <formula>NOT(ISERROR(SEARCH("ENTREGADO",A4)))</formula>
    </cfRule>
    <cfRule type="containsText" dxfId="7592" priority="18770" operator="containsText" text="ENTREGADO">
      <formula>NOT(ISERROR(SEARCH("ENTREGADO",A4)))</formula>
    </cfRule>
    <cfRule type="containsText" dxfId="7591" priority="18769" operator="containsText" text="PENDIENTE">
      <formula>NOT(ISERROR(SEARCH("PENDIENTE",A4)))</formula>
    </cfRule>
    <cfRule type="containsText" dxfId="7590" priority="18764" operator="containsText" text="ENTREGADO">
      <formula>NOT(ISERROR(SEARCH("ENTREGADO",#REF!)))</formula>
    </cfRule>
    <cfRule type="containsText" dxfId="7589" priority="18818" operator="containsText" text="PENDIENTE">
      <formula>NOT(ISERROR(SEARCH("PENDIENTE",A4)))</formula>
    </cfRule>
    <cfRule type="containsText" dxfId="7588" priority="18768" operator="containsText" text="PENDIENTE">
      <formula>NOT(ISERROR(SEARCH("PENDIENTE",#REF!)))</formula>
    </cfRule>
    <cfRule type="containsText" dxfId="7587" priority="18847" operator="containsText" text="ENTREGADO">
      <formula>NOT(ISERROR(SEARCH("ENTREGADO",A4)))</formula>
    </cfRule>
  </conditionalFormatting>
  <conditionalFormatting sqref="A6">
    <cfRule type="containsText" dxfId="7586" priority="9611" operator="containsText" text="ENTREGADO">
      <formula>NOT(ISERROR(SEARCH("ENTREGADO",A6)))</formula>
    </cfRule>
    <cfRule type="containsText" dxfId="7585" priority="9610" operator="containsText" text="PENDIENTE">
      <formula>NOT(ISERROR(SEARCH("PENDIENTE",A6)))</formula>
    </cfRule>
    <cfRule type="containsText" dxfId="7584" priority="9615" operator="containsText" text="PRIORIDAD">
      <formula>NOT(ISERROR(SEARCH("PRIORIDAD",A6)))</formula>
    </cfRule>
  </conditionalFormatting>
  <conditionalFormatting sqref="A6:A7">
    <cfRule type="containsText" dxfId="7583" priority="9614" operator="containsText" text="PENDIENTE">
      <formula>NOT(ISERROR(SEARCH("PENDIENTE",A6)))</formula>
    </cfRule>
    <cfRule type="containsText" dxfId="7582" priority="9612" operator="containsText" text="ENTREGADO">
      <formula>NOT(ISERROR(SEARCH("ENTREGADO",A6)))</formula>
    </cfRule>
    <cfRule type="containsText" dxfId="7581" priority="9616" operator="containsText" text="ENTREGADO">
      <formula>NOT(ISERROR(SEARCH("ENTREGADO",A6)))</formula>
    </cfRule>
    <cfRule type="containsText" dxfId="7580" priority="9609" operator="containsText" text="ENTREGADO">
      <formula>NOT(ISERROR(SEARCH("ENTREGADO",#REF!)))</formula>
    </cfRule>
    <cfRule type="containsText" dxfId="7579" priority="9613" operator="containsText" text="PENDIENTE">
      <formula>NOT(ISERROR(SEARCH("PENDIENTE",#REF!)))</formula>
    </cfRule>
  </conditionalFormatting>
  <conditionalFormatting sqref="A7">
    <cfRule type="containsText" dxfId="7578" priority="9622" operator="containsText" text="PRIORIDAD">
      <formula>NOT(ISERROR(SEARCH("PRIORIDAD",A7)))</formula>
    </cfRule>
    <cfRule type="containsText" dxfId="7577" priority="9623" operator="containsText" text="PENDIENTE">
      <formula>NOT(ISERROR(SEARCH("PENDIENTE",A7)))</formula>
    </cfRule>
    <cfRule type="containsText" dxfId="7576" priority="9631" operator="containsText" text="ENTREGADO">
      <formula>NOT(ISERROR(SEARCH("ENTREGADO",A7)))</formula>
    </cfRule>
    <cfRule type="containsText" dxfId="7575" priority="9626" operator="containsText" text="ENTREGADO">
      <formula>NOT(ISERROR(SEARCH("ENTREGADO",A7)))</formula>
    </cfRule>
    <cfRule type="containsText" dxfId="7574" priority="9624" operator="containsText" text="ENTREGADO">
      <formula>NOT(ISERROR(SEARCH("ENTREGADO",A7)))</formula>
    </cfRule>
    <cfRule type="containsText" dxfId="7573" priority="9627" operator="containsText" text="PENDIENTE">
      <formula>NOT(ISERROR(SEARCH("PENDIENTE",#REF!)))</formula>
    </cfRule>
    <cfRule type="containsText" dxfId="7572" priority="9629" operator="containsText" text="ENTREGADO">
      <formula>NOT(ISERROR(SEARCH("ENTREGADO",A7)))</formula>
    </cfRule>
    <cfRule type="containsText" dxfId="7571" priority="9630" operator="containsText" text="PENDIENTE">
      <formula>NOT(ISERROR(SEARCH("PENDIENTE",A7)))</formula>
    </cfRule>
    <cfRule type="containsText" dxfId="7570" priority="9628" operator="containsText" text="PENDIENTE">
      <formula>NOT(ISERROR(SEARCH("PENDIENTE",A7)))</formula>
    </cfRule>
  </conditionalFormatting>
  <conditionalFormatting sqref="A7:A8">
    <cfRule type="containsText" dxfId="7569" priority="9625" operator="containsText" text="ENTREGADO">
      <formula>NOT(ISERROR(SEARCH("ENTREGADO",#REF!)))</formula>
    </cfRule>
    <cfRule type="containsText" dxfId="7568" priority="9632" operator="containsText" text="PENDIENTE">
      <formula>NOT(ISERROR(SEARCH("PENDIENTE",A7)))</formula>
    </cfRule>
  </conditionalFormatting>
  <conditionalFormatting sqref="A8 T8:X8 BH8:XFD8 G8:H8 P8 A51:A54 AD51:AL54 AN51:BA54 BC51:BC54 BH51:XFD54 T52:T53 V52:X53 BC71:BC75 BH71:XFD75 T71:T75 V71:X75 C71:D75 C50:D54 T56:T58 V56:X58 AD56:AL58 AN56:BA58 BC56:BC58 F51:N54 R51:R54 F56:N58 AN63:AO75 Q56:Q58">
    <cfRule type="containsText" dxfId="7567" priority="13657" operator="containsText" text="PRIORIDAD">
      <formula>NOT(ISERROR(SEARCH("PRIORIDAD",A8)))</formula>
    </cfRule>
  </conditionalFormatting>
  <conditionalFormatting sqref="A8 T8:X8 BH8:XFD8">
    <cfRule type="containsText" dxfId="7566" priority="13651" operator="containsText" text="PENDIENTE">
      <formula>NOT(ISERROR(SEARCH("PENDIENTE",A8)))</formula>
    </cfRule>
    <cfRule type="containsText" dxfId="7565" priority="13650" operator="containsText" text="PENDIENTE">
      <formula>NOT(ISERROR(SEARCH("PENDIENTE",#REF!)))</formula>
    </cfRule>
  </conditionalFormatting>
  <conditionalFormatting sqref="A8 BB24 BB27:BB34 A24:A26 BD34:BG38 AD24:AG24 AI24:AL24 AN24:AO24 AR24:AW24 BD24:BG24 BD62:BG69">
    <cfRule type="containsText" dxfId="7564" priority="13649" operator="containsText" text="ENTREGADO">
      <formula>NOT(ISERROR(SEARCH("ENTREGADO",A8)))</formula>
    </cfRule>
  </conditionalFormatting>
  <conditionalFormatting sqref="A9 K9 M9:N9 T9:X9 BD9:XFD9">
    <cfRule type="containsText" dxfId="7563" priority="9568" operator="containsText" text="PENDIENTE">
      <formula>NOT(ISERROR(SEARCH("PENDIENTE",A9)))</formula>
    </cfRule>
  </conditionalFormatting>
  <conditionalFormatting sqref="A9 K9 M9:N9 T9:X9 BH9:XFD9 G9">
    <cfRule type="containsText" dxfId="7562" priority="9574" operator="containsText" text="PRIORIDAD">
      <formula>NOT(ISERROR(SEARCH("PRIORIDAD",A9)))</formula>
    </cfRule>
  </conditionalFormatting>
  <conditionalFormatting sqref="A9">
    <cfRule type="containsText" dxfId="7561" priority="9566" operator="containsText" text="ENTREGADO">
      <formula>NOT(ISERROR(SEARCH("ENTREGADO",A9)))</formula>
    </cfRule>
  </conditionalFormatting>
  <conditionalFormatting sqref="A9:A10 T10:X10 BH10:XFD10">
    <cfRule type="containsText" dxfId="7560" priority="8204" operator="containsText" text="PENDIENTE">
      <formula>NOT(ISERROR(SEARCH("PENDIENTE",A9)))</formula>
    </cfRule>
  </conditionalFormatting>
  <conditionalFormatting sqref="A9:A10 BD9:XFD10 G10 T10:X10">
    <cfRule type="containsText" dxfId="7559" priority="8211" operator="containsText" text="ENTREGADO">
      <formula>NOT(ISERROR(SEARCH("ENTREGADO",A9)))</formula>
    </cfRule>
  </conditionalFormatting>
  <conditionalFormatting sqref="A10 T10:X10 BH10:XFD10 G10 Q71:R71 Q68:R69 F24:H26 C24:D30 B24:B32">
    <cfRule type="containsText" dxfId="7558" priority="8210" operator="containsText" text="PRIORIDAD">
      <formula>NOT(ISERROR(SEARCH("PRIORIDAD",A10)))</formula>
    </cfRule>
  </conditionalFormatting>
  <conditionalFormatting sqref="A10">
    <cfRule type="containsText" dxfId="7557" priority="8202" operator="containsText" text="ENTREGADO">
      <formula>NOT(ISERROR(SEARCH("ENTREGADO",A10)))</formula>
    </cfRule>
  </conditionalFormatting>
  <conditionalFormatting sqref="A10:A11 G11 T11:X11 BH11:XFD11">
    <cfRule type="containsText" dxfId="7556" priority="8115" operator="containsText" text="PENDIENTE">
      <formula>NOT(ISERROR(SEARCH("PENDIENTE",A10)))</formula>
    </cfRule>
  </conditionalFormatting>
  <conditionalFormatting sqref="A10:A11 BH10:XFD11 G11 P11 T11:X11">
    <cfRule type="containsText" dxfId="7555" priority="8122" operator="containsText" text="ENTREGADO">
      <formula>NOT(ISERROR(SEARCH("ENTREGADO",A10)))</formula>
    </cfRule>
  </conditionalFormatting>
  <conditionalFormatting sqref="A11">
    <cfRule type="containsText" dxfId="7554" priority="8113" operator="containsText" text="ENTREGADO">
      <formula>NOT(ISERROR(SEARCH("ENTREGADO",A11)))</formula>
    </cfRule>
    <cfRule type="containsText" dxfId="7553" priority="8112" operator="containsText" text="ENTREGADO">
      <formula>NOT(ISERROR(SEARCH("ENTREGADO",A11)))</formula>
    </cfRule>
    <cfRule type="containsText" dxfId="7552" priority="8111" operator="containsText" text="PENDIENTE">
      <formula>NOT(ISERROR(SEARCH("PENDIENTE",A11)))</formula>
    </cfRule>
  </conditionalFormatting>
  <conditionalFormatting sqref="A12 G12 P12 T12:X12 BD12:XFD12">
    <cfRule type="containsText" dxfId="7551" priority="8834" operator="containsText" text="ENTREGADO">
      <formula>NOT(ISERROR(SEARCH("ENTREGADO",A12)))</formula>
    </cfRule>
  </conditionalFormatting>
  <conditionalFormatting sqref="A12 T12:X12 BH12:XFD12 P12">
    <cfRule type="containsText" dxfId="7550" priority="8833" operator="containsText" text="PRIORIDAD">
      <formula>NOT(ISERROR(SEARCH("PRIORIDAD",A12)))</formula>
    </cfRule>
  </conditionalFormatting>
  <conditionalFormatting sqref="A12 T12:X12 BH12:XFD12">
    <cfRule type="containsText" dxfId="7549" priority="8826" operator="containsText" text="PENDIENTE">
      <formula>NOT(ISERROR(SEARCH("PENDIENTE",#REF!)))</formula>
    </cfRule>
    <cfRule type="containsText" dxfId="7548" priority="8827" operator="containsText" text="PENDIENTE">
      <formula>NOT(ISERROR(SEARCH("PENDIENTE",A12)))</formula>
    </cfRule>
  </conditionalFormatting>
  <conditionalFormatting sqref="A12">
    <cfRule type="containsText" dxfId="7547" priority="8825" operator="containsText" text="ENTREGADO">
      <formula>NOT(ISERROR(SEARCH("ENTREGADO",A12)))</formula>
    </cfRule>
  </conditionalFormatting>
  <conditionalFormatting sqref="A12:A13 T13:X13 BD13:XFD13">
    <cfRule type="containsText" dxfId="7546" priority="8738" operator="containsText" text="PENDIENTE">
      <formula>NOT(ISERROR(SEARCH("PENDIENTE",A12)))</formula>
    </cfRule>
  </conditionalFormatting>
  <conditionalFormatting sqref="A12:A13 BH12:XFD13 G13 P13 T13:X13">
    <cfRule type="containsText" dxfId="7545" priority="8745" operator="containsText" text="ENTREGADO">
      <formula>NOT(ISERROR(SEARCH("ENTREGADO",A12)))</formula>
    </cfRule>
  </conditionalFormatting>
  <conditionalFormatting sqref="A13">
    <cfRule type="containsText" dxfId="7544" priority="8736" operator="containsText" text="ENTREGADO">
      <formula>NOT(ISERROR(SEARCH("ENTREGADO",A13)))</formula>
    </cfRule>
  </conditionalFormatting>
  <conditionalFormatting sqref="A13:A14 T14:X14 BH14:XFD14">
    <cfRule type="containsText" dxfId="7543" priority="8649" operator="containsText" text="PENDIENTE">
      <formula>NOT(ISERROR(SEARCH("PENDIENTE",A13)))</formula>
    </cfRule>
  </conditionalFormatting>
  <conditionalFormatting sqref="A13:A14 BD13:XFD14 G14 P14 T14:X14">
    <cfRule type="containsText" dxfId="7542" priority="8656" operator="containsText" text="ENTREGADO">
      <formula>NOT(ISERROR(SEARCH("ENTREGADO",A13)))</formula>
    </cfRule>
  </conditionalFormatting>
  <conditionalFormatting sqref="A14 G14 T14:X14 BH14:XFD14 C51:D54 J51:N54 F51:H54">
    <cfRule type="containsText" dxfId="7541" priority="8648" operator="containsText" text="PENDIENTE">
      <formula>NOT(ISERROR(SEARCH("PENDIENTE",#REF!)))</formula>
    </cfRule>
  </conditionalFormatting>
  <conditionalFormatting sqref="A14">
    <cfRule type="containsText" dxfId="7540" priority="8647" operator="containsText" text="ENTREGADO">
      <formula>NOT(ISERROR(SEARCH("ENTREGADO",A14)))</formula>
    </cfRule>
  </conditionalFormatting>
  <conditionalFormatting sqref="A14:A15 T15:X15 BH15:XFD15">
    <cfRule type="containsText" dxfId="7539" priority="8560" operator="containsText" text="PENDIENTE">
      <formula>NOT(ISERROR(SEARCH("PENDIENTE",A14)))</formula>
    </cfRule>
  </conditionalFormatting>
  <conditionalFormatting sqref="A14:A15 BH14:XFD15 G15 P15 T15:X15">
    <cfRule type="containsText" dxfId="7538" priority="8567" operator="containsText" text="ENTREGADO">
      <formula>NOT(ISERROR(SEARCH("ENTREGADO",A14)))</formula>
    </cfRule>
  </conditionalFormatting>
  <conditionalFormatting sqref="A15">
    <cfRule type="containsText" dxfId="7537" priority="8558" operator="containsText" text="ENTREGADO">
      <formula>NOT(ISERROR(SEARCH("ENTREGADO",A15)))</formula>
    </cfRule>
  </conditionalFormatting>
  <conditionalFormatting sqref="A15:A16 T16:X16 BH16:XFD16">
    <cfRule type="containsText" dxfId="7536" priority="8471" operator="containsText" text="PENDIENTE">
      <formula>NOT(ISERROR(SEARCH("PENDIENTE",A15)))</formula>
    </cfRule>
  </conditionalFormatting>
  <conditionalFormatting sqref="A15:A16 BD15:XFD16 G16 P16 T16:X16">
    <cfRule type="containsText" dxfId="7535" priority="8478" operator="containsText" text="ENTREGADO">
      <formula>NOT(ISERROR(SEARCH("ENTREGADO",A15)))</formula>
    </cfRule>
  </conditionalFormatting>
  <conditionalFormatting sqref="A16">
    <cfRule type="containsText" dxfId="7534" priority="8469" operator="containsText" text="ENTREGADO">
      <formula>NOT(ISERROR(SEARCH("ENTREGADO",A16)))</formula>
    </cfRule>
  </conditionalFormatting>
  <conditionalFormatting sqref="A16:A18 T17:X17 BH17:XFD17">
    <cfRule type="containsText" dxfId="7533" priority="8382" operator="containsText" text="PENDIENTE">
      <formula>NOT(ISERROR(SEARCH("PENDIENTE",A16)))</formula>
    </cfRule>
  </conditionalFormatting>
  <conditionalFormatting sqref="A16:A18 BH16:XFD18 G17 T17:X17 P17:P18">
    <cfRule type="containsText" dxfId="7532" priority="8389" operator="containsText" text="ENTREGADO">
      <formula>NOT(ISERROR(SEARCH("ENTREGADO",A16)))</formula>
    </cfRule>
  </conditionalFormatting>
  <conditionalFormatting sqref="A17">
    <cfRule type="containsText" dxfId="7531" priority="8380" operator="containsText" text="ENTREGADO">
      <formula>NOT(ISERROR(SEARCH("ENTREGADO",A17)))</formula>
    </cfRule>
    <cfRule type="containsText" dxfId="7530" priority="8378" operator="containsText" text="PENDIENTE">
      <formula>NOT(ISERROR(SEARCH("PENDIENTE",A17)))</formula>
    </cfRule>
    <cfRule type="containsText" dxfId="7529" priority="8379" operator="containsText" text="ENTREGADO">
      <formula>NOT(ISERROR(SEARCH("ENTREGADO",A17)))</formula>
    </cfRule>
  </conditionalFormatting>
  <conditionalFormatting sqref="A18 G18:H18 T18 AX18:BC18 BH18:XFD18">
    <cfRule type="containsText" dxfId="7528" priority="10395" operator="containsText" text="ENTREGADO">
      <formula>NOT(ISERROR(SEARCH("ENTREGADO",A18)))</formula>
    </cfRule>
  </conditionalFormatting>
  <conditionalFormatting sqref="A18 G18:H18 AX18:BC18 T18 BH18:XFD18">
    <cfRule type="containsText" dxfId="7527" priority="10387" operator="containsText" text="PENDIENTE">
      <formula>NOT(ISERROR(SEARCH("PENDIENTE",#REF!)))</formula>
    </cfRule>
    <cfRule type="containsText" dxfId="7526" priority="10388" operator="containsText" text="PENDIENTE">
      <formula>NOT(ISERROR(SEARCH("PENDIENTE",A18)))</formula>
    </cfRule>
  </conditionalFormatting>
  <conditionalFormatting sqref="A18">
    <cfRule type="containsText" dxfId="7525" priority="10386" operator="containsText" text="ENTREGADO">
      <formula>NOT(ISERROR(SEARCH("ENTREGADO",A18)))</formula>
    </cfRule>
  </conditionalFormatting>
  <conditionalFormatting sqref="A20 AX20:BC20 T20 BH20:XFD20">
    <cfRule type="containsText" dxfId="7524" priority="13789" operator="containsText" text="PENDIENTE">
      <formula>NOT(ISERROR(SEARCH("PENDIENTE",A20)))</formula>
    </cfRule>
  </conditionalFormatting>
  <conditionalFormatting sqref="A20">
    <cfRule type="containsText" dxfId="7523" priority="13787" operator="containsText" text="ENTREGADO">
      <formula>NOT(ISERROR(SEARCH("ENTREGADO",A20)))</formula>
    </cfRule>
  </conditionalFormatting>
  <conditionalFormatting sqref="A20:A21 AX20:BC21 BH20:XFD21 G21:H21 T21">
    <cfRule type="containsText" dxfId="7522" priority="12725" operator="containsText" text="ENTREGADO">
      <formula>NOT(ISERROR(SEARCH("ENTREGADO",A20)))</formula>
    </cfRule>
  </conditionalFormatting>
  <conditionalFormatting sqref="A20:A21 AX21:BC21 T21 BH21:XFD21">
    <cfRule type="containsText" dxfId="7521" priority="12718" operator="containsText" text="PENDIENTE">
      <formula>NOT(ISERROR(SEARCH("PENDIENTE",A20)))</formula>
    </cfRule>
  </conditionalFormatting>
  <conditionalFormatting sqref="A20:A22 G20:H22 T24 AX24:BC24 BH24:XFD26 G24:H26 A24:A26 E34:E38">
    <cfRule type="containsText" dxfId="7520" priority="10668" operator="containsText" text="ENTREGADO">
      <formula>NOT(ISERROR(SEARCH("ENTREGADO",#REF!)))</formula>
    </cfRule>
  </conditionalFormatting>
  <conditionalFormatting sqref="A21">
    <cfRule type="containsText" dxfId="7519" priority="12716" operator="containsText" text="ENTREGADO">
      <formula>NOT(ISERROR(SEARCH("ENTREGADO",A21)))</formula>
    </cfRule>
  </conditionalFormatting>
  <conditionalFormatting sqref="A21:A22 AX21:BC22 BH21:XFD22 G22:H22 T22">
    <cfRule type="containsText" dxfId="7518" priority="10784" operator="containsText" text="ENTREGADO">
      <formula>NOT(ISERROR(SEARCH("ENTREGADO",A21)))</formula>
    </cfRule>
  </conditionalFormatting>
  <conditionalFormatting sqref="A21:A22 AX22:BC22 T22 BH22:XFD22 G20:H22">
    <cfRule type="containsText" dxfId="7517" priority="10777" operator="containsText" text="PENDIENTE">
      <formula>NOT(ISERROR(SEARCH("PENDIENTE",A20)))</formula>
    </cfRule>
  </conditionalFormatting>
  <conditionalFormatting sqref="A22">
    <cfRule type="containsText" dxfId="7516" priority="10775" operator="containsText" text="ENTREGADO">
      <formula>NOT(ISERROR(SEARCH("ENTREGADO",A22)))</formula>
    </cfRule>
    <cfRule type="containsText" dxfId="7515" priority="10774" operator="containsText" text="ENTREGADO">
      <formula>NOT(ISERROR(SEARCH("ENTREGADO",A22)))</formula>
    </cfRule>
    <cfRule type="containsText" dxfId="7514" priority="10676" operator="containsText" text="PENDIENTE">
      <formula>NOT(ISERROR(SEARCH("PENDIENTE",A22)))</formula>
    </cfRule>
  </conditionalFormatting>
  <conditionalFormatting sqref="A23 G23:H23 AX23:BC23 T23 BH23:XFD23 D8:D23">
    <cfRule type="containsText" dxfId="7513" priority="6907" operator="containsText" text="PENDIENTE">
      <formula>NOT(ISERROR(SEARCH("PENDIENTE",A8)))</formula>
    </cfRule>
  </conditionalFormatting>
  <conditionalFormatting sqref="A23">
    <cfRule type="containsText" dxfId="7512" priority="6903" operator="containsText" text="PENDIENTE">
      <formula>NOT(ISERROR(SEARCH("PENDIENTE",A23)))</formula>
    </cfRule>
    <cfRule type="containsText" dxfId="7511" priority="6905" operator="containsText" text="ENTREGADO">
      <formula>NOT(ISERROR(SEARCH("ENTREGADO",A23)))</formula>
    </cfRule>
    <cfRule type="containsText" dxfId="7510" priority="6904" operator="containsText" text="ENTREGADO">
      <formula>NOT(ISERROR(SEARCH("ENTREGADO",A23)))</formula>
    </cfRule>
  </conditionalFormatting>
  <conditionalFormatting sqref="A24:A27 G27:H27 P27 J27:N27">
    <cfRule type="containsText" dxfId="7509" priority="12350" operator="containsText" text="ENTREGADO">
      <formula>NOT(ISERROR(SEARCH("ENTREGADO",A24)))</formula>
    </cfRule>
  </conditionalFormatting>
  <conditionalFormatting sqref="A27 G27:H27 J27:N27 P27 T27 V27:X27 BC27 BH27:XFD27">
    <cfRule type="containsText" dxfId="7508" priority="12319" operator="containsText" text="PRIORIDAD">
      <formula>NOT(ISERROR(SEARCH("PRIORIDAD",A27)))</formula>
    </cfRule>
  </conditionalFormatting>
  <conditionalFormatting sqref="A27 P27 S24:S26">
    <cfRule type="containsText" dxfId="7507" priority="12306" operator="containsText" text="ENTREGADO">
      <formula>NOT(ISERROR(SEARCH("ENTREGADO",A24)))</formula>
    </cfRule>
  </conditionalFormatting>
  <conditionalFormatting sqref="A27 T27 V27:X27 BH27:XFD27 BC27 P27 G27:H27 J27:N27">
    <cfRule type="containsText" dxfId="7506" priority="12316" operator="containsText" text="ENTREGADO">
      <formula>NOT(ISERROR(SEARCH("ENTREGADO",A27)))</formula>
    </cfRule>
  </conditionalFormatting>
  <conditionalFormatting sqref="A27 BB27:BB34">
    <cfRule type="containsText" dxfId="7505" priority="12303" operator="containsText" text="ENTREGADO">
      <formula>NOT(ISERROR(SEARCH("ENTREGADO",#REF!)))</formula>
    </cfRule>
  </conditionalFormatting>
  <conditionalFormatting sqref="A27 BB27:BC27 G27:H27 J27:N27 BB27:BB34">
    <cfRule type="containsText" dxfId="7504" priority="12307" operator="containsText" text="PENDIENTE">
      <formula>NOT(ISERROR(SEARCH("PENDIENTE",#REF!)))</formula>
    </cfRule>
  </conditionalFormatting>
  <conditionalFormatting sqref="A27 BH27:XFD27 T27 V27:X27">
    <cfRule type="containsText" dxfId="7503" priority="12314" operator="containsText" text="PENDIENTE">
      <formula>NOT(ISERROR(SEARCH("PENDIENTE",#REF!)))</formula>
    </cfRule>
  </conditionalFormatting>
  <conditionalFormatting sqref="A27">
    <cfRule type="containsText" dxfId="7502" priority="12339" operator="containsText" text="ENTREGADO">
      <formula>NOT(ISERROR(SEARCH("ENTREGADO",A27)))</formula>
    </cfRule>
    <cfRule type="containsText" dxfId="7501" priority="12338" operator="containsText" text="PENDIENTE">
      <formula>NOT(ISERROR(SEARCH("PENDIENTE",A27)))</formula>
    </cfRule>
    <cfRule type="containsText" dxfId="7500" priority="12315" operator="containsText" text="PENDIENTE">
      <formula>NOT(ISERROR(SEARCH("PENDIENTE",A27)))</formula>
    </cfRule>
    <cfRule type="containsText" dxfId="7499" priority="12313" operator="containsText" text="ENTREGADO">
      <formula>NOT(ISERROR(SEARCH("ENTREGADO",A27)))</formula>
    </cfRule>
  </conditionalFormatting>
  <conditionalFormatting sqref="A28 G28:H28 J28:M28">
    <cfRule type="containsText" dxfId="7498" priority="23195" operator="containsText" text="ENTREGADO">
      <formula>NOT(ISERROR(SEARCH("ENTREGADO",A28)))</formula>
    </cfRule>
  </conditionalFormatting>
  <conditionalFormatting sqref="A28 AX28:BA28 BC28 BH28:XFD28 G28:H28 J28:M28">
    <cfRule type="containsText" dxfId="7497" priority="23184" operator="containsText" text="PRIORIDAD">
      <formula>NOT(ISERROR(SEARCH("PRIORIDAD",A28)))</formula>
    </cfRule>
  </conditionalFormatting>
  <conditionalFormatting sqref="A28 AX28:BA28 BC28 BH28:XFD28">
    <cfRule type="containsText" dxfId="7496" priority="23183" operator="containsText" text="ENTREGADO">
      <formula>NOT(ISERROR(SEARCH("ENTREGADO",A28)))</formula>
    </cfRule>
  </conditionalFormatting>
  <conditionalFormatting sqref="A28 AX28:BC28 BH28:XFD28">
    <cfRule type="containsText" dxfId="7495" priority="23181" operator="containsText" text="PENDIENTE">
      <formula>NOT(ISERROR(SEARCH("PENDIENTE",#REF!)))</formula>
    </cfRule>
  </conditionalFormatting>
  <conditionalFormatting sqref="A28 AX28:BC28">
    <cfRule type="containsText" dxfId="7494" priority="23176" operator="containsText" text="PENDIENTE">
      <formula>NOT(ISERROR(SEARCH("PENDIENTE",A28)))</formula>
    </cfRule>
  </conditionalFormatting>
  <conditionalFormatting sqref="A28 BB28 AB3:AL3 AD38:AG38 AD42:AL44 AD71:AG71 AD5:AL5 AD19:AG22 AI19:AL22 AI38:AL38 AI71:AL71 AN7:AO22 AN71:AO71 AN38:AO38 AN42:AO44 AN3:BC3 AN5:BC6 AR42:BA44 AR38:BA38 AR71:BA71 AR18:AW22 AR7:AW7 AD6:AG17 AR8:BC17 AD18:AL18 AI6:AL17">
    <cfRule type="containsText" dxfId="7493" priority="23171" operator="containsText" text="ENTREGADO">
      <formula>NOT(ISERROR(SEARCH("ENTREGADO",#REF!)))</formula>
    </cfRule>
  </conditionalFormatting>
  <conditionalFormatting sqref="A28 BB28">
    <cfRule type="containsText" dxfId="7492" priority="23175" operator="containsText" text="PENDIENTE">
      <formula>NOT(ISERROR(SEARCH("PENDIENTE",#REF!)))</formula>
    </cfRule>
  </conditionalFormatting>
  <conditionalFormatting sqref="A28">
    <cfRule type="containsText" dxfId="7491" priority="23182" operator="containsText" text="PENDIENTE">
      <formula>NOT(ISERROR(SEARCH("PENDIENTE",A28)))</formula>
    </cfRule>
    <cfRule type="containsText" dxfId="7490" priority="23174" operator="containsText" text="ENTREGADO">
      <formula>NOT(ISERROR(SEARCH("ENTREGADO",A28)))</formula>
    </cfRule>
    <cfRule type="containsText" dxfId="7489" priority="23180" operator="containsText" text="ENTREGADO">
      <formula>NOT(ISERROR(SEARCH("ENTREGADO",A28)))</formula>
    </cfRule>
    <cfRule type="containsText" dxfId="7488" priority="23186" operator="containsText" text="ENTREGADO">
      <formula>NOT(ISERROR(SEARCH("ENTREGADO",A28)))</formula>
    </cfRule>
    <cfRule type="containsText" dxfId="7487" priority="23185" operator="containsText" text="PENDIENTE">
      <formula>NOT(ISERROR(SEARCH("PENDIENTE",A28)))</formula>
    </cfRule>
  </conditionalFormatting>
  <conditionalFormatting sqref="A29">
    <cfRule type="containsText" dxfId="7486" priority="12045" operator="containsText" text="ENTREGADO">
      <formula>NOT(ISERROR(SEARCH("ENTREGADO",A29)))</formula>
    </cfRule>
    <cfRule type="containsText" dxfId="7485" priority="12044" operator="containsText" text="PENDIENTE">
      <formula>NOT(ISERROR(SEARCH("PENDIENTE",A29)))</formula>
    </cfRule>
    <cfRule type="containsText" dxfId="7484" priority="12040" operator="containsText" text="ENTREGADO">
      <formula>NOT(ISERROR(SEARCH("ENTREGADO",A29)))</formula>
    </cfRule>
    <cfRule type="containsText" dxfId="7483" priority="12037" operator="containsText" text="ENTREGADO">
      <formula>NOT(ISERROR(SEARCH("ENTREGADO",A29)))</formula>
    </cfRule>
    <cfRule type="containsText" dxfId="7482" priority="12043" operator="containsText" text="ENTREGADO">
      <formula>NOT(ISERROR(SEARCH("ENTREGADO",A29)))</formula>
    </cfRule>
    <cfRule type="containsText" dxfId="7481" priority="12042" operator="containsText" text="PENDIENTE">
      <formula>NOT(ISERROR(SEARCH("PENDIENTE",A29)))</formula>
    </cfRule>
    <cfRule type="containsText" dxfId="7480" priority="12041" operator="containsText" text="PRIORIDAD">
      <formula>NOT(ISERROR(SEARCH("PRIORIDAD",A29)))</formula>
    </cfRule>
    <cfRule type="containsText" dxfId="7479" priority="12039" operator="containsText" text="PENDIENTE">
      <formula>NOT(ISERROR(SEARCH("PENDIENTE",A29)))</formula>
    </cfRule>
    <cfRule type="containsText" dxfId="7478" priority="12038" operator="containsText" text="PENDIENTE">
      <formula>NOT(ISERROR(SEARCH("PENDIENTE",#REF!)))</formula>
    </cfRule>
  </conditionalFormatting>
  <conditionalFormatting sqref="A29:A30">
    <cfRule type="containsText" dxfId="7477" priority="12030" operator="containsText" text="PENDIENTE">
      <formula>NOT(ISERROR(SEARCH("PENDIENTE",A29)))</formula>
    </cfRule>
    <cfRule type="containsText" dxfId="7476" priority="12023" operator="containsText" text="ENTREGADO">
      <formula>NOT(ISERROR(SEARCH("ENTREGADO",A29)))</formula>
    </cfRule>
    <cfRule type="containsText" dxfId="7475" priority="12024" operator="containsText" text="PENDIENTE">
      <formula>NOT(ISERROR(SEARCH("PENDIENTE",#REF!)))</formula>
    </cfRule>
  </conditionalFormatting>
  <conditionalFormatting sqref="A29:A32 A34">
    <cfRule type="containsText" dxfId="7474" priority="11977" operator="containsText" text="ENTREGADO">
      <formula>NOT(ISERROR(SEARCH("ENTREGADO",#REF!)))</formula>
    </cfRule>
  </conditionalFormatting>
  <conditionalFormatting sqref="A30">
    <cfRule type="containsText" dxfId="7473" priority="12026" operator="containsText" text="ENTREGADO">
      <formula>NOT(ISERROR(SEARCH("ENTREGADO",A30)))</formula>
    </cfRule>
    <cfRule type="containsText" dxfId="7472" priority="12027" operator="containsText" text="PRIORIDAD">
      <formula>NOT(ISERROR(SEARCH("PRIORIDAD",A30)))</formula>
    </cfRule>
    <cfRule type="containsText" dxfId="7471" priority="12028" operator="containsText" text="PENDIENTE">
      <formula>NOT(ISERROR(SEARCH("PENDIENTE",A30)))</formula>
    </cfRule>
    <cfRule type="containsText" dxfId="7470" priority="12029" operator="containsText" text="ENTREGADO">
      <formula>NOT(ISERROR(SEARCH("ENTREGADO",A30)))</formula>
    </cfRule>
    <cfRule type="containsText" dxfId="7469" priority="12025" operator="containsText" text="PENDIENTE">
      <formula>NOT(ISERROR(SEARCH("PENDIENTE",A30)))</formula>
    </cfRule>
    <cfRule type="containsText" dxfId="7468" priority="12031" operator="containsText" text="ENTREGADO">
      <formula>NOT(ISERROR(SEARCH("ENTREGADO",A30)))</formula>
    </cfRule>
  </conditionalFormatting>
  <conditionalFormatting sqref="A30:A31">
    <cfRule type="containsText" dxfId="7467" priority="12016" operator="containsText" text="PENDIENTE">
      <formula>NOT(ISERROR(SEARCH("PENDIENTE",A30)))</formula>
    </cfRule>
    <cfRule type="containsText" dxfId="7466" priority="12010" operator="containsText" text="PENDIENTE">
      <formula>NOT(ISERROR(SEARCH("PENDIENTE",#REF!)))</formula>
    </cfRule>
    <cfRule type="containsText" dxfId="7465" priority="12009" operator="containsText" text="ENTREGADO">
      <formula>NOT(ISERROR(SEARCH("ENTREGADO",A30)))</formula>
    </cfRule>
  </conditionalFormatting>
  <conditionalFormatting sqref="A31">
    <cfRule type="containsText" dxfId="7464" priority="12013" operator="containsText" text="PRIORIDAD">
      <formula>NOT(ISERROR(SEARCH("PRIORIDAD",A31)))</formula>
    </cfRule>
    <cfRule type="containsText" dxfId="7463" priority="12014" operator="containsText" text="PENDIENTE">
      <formula>NOT(ISERROR(SEARCH("PENDIENTE",A31)))</formula>
    </cfRule>
    <cfRule type="containsText" dxfId="7462" priority="12015" operator="containsText" text="ENTREGADO">
      <formula>NOT(ISERROR(SEARCH("ENTREGADO",A31)))</formula>
    </cfRule>
    <cfRule type="containsText" dxfId="7461" priority="12017" operator="containsText" text="ENTREGADO">
      <formula>NOT(ISERROR(SEARCH("ENTREGADO",A31)))</formula>
    </cfRule>
    <cfRule type="containsText" dxfId="7460" priority="12012" operator="containsText" text="ENTREGADO">
      <formula>NOT(ISERROR(SEARCH("ENTREGADO",A31)))</formula>
    </cfRule>
    <cfRule type="containsText" dxfId="7459" priority="12011" operator="containsText" text="PENDIENTE">
      <formula>NOT(ISERROR(SEARCH("PENDIENTE",A31)))</formula>
    </cfRule>
  </conditionalFormatting>
  <conditionalFormatting sqref="A31:A32">
    <cfRule type="containsText" dxfId="7458" priority="11995" operator="containsText" text="ENTREGADO">
      <formula>NOT(ISERROR(SEARCH("ENTREGADO",A31)))</formula>
    </cfRule>
    <cfRule type="containsText" dxfId="7457" priority="11996" operator="containsText" text="PENDIENTE">
      <formula>NOT(ISERROR(SEARCH("PENDIENTE",#REF!)))</formula>
    </cfRule>
    <cfRule type="containsText" dxfId="7456" priority="12002" operator="containsText" text="PENDIENTE">
      <formula>NOT(ISERROR(SEARCH("PENDIENTE",A31)))</formula>
    </cfRule>
  </conditionalFormatting>
  <conditionalFormatting sqref="A32 A34">
    <cfRule type="containsText" dxfId="7455" priority="11982" operator="containsText" text="PENDIENTE">
      <formula>NOT(ISERROR(SEARCH("PENDIENTE",#REF!)))</formula>
    </cfRule>
  </conditionalFormatting>
  <conditionalFormatting sqref="A32">
    <cfRule type="containsText" dxfId="7454" priority="11999" operator="containsText" text="PRIORIDAD">
      <formula>NOT(ISERROR(SEARCH("PRIORIDAD",A32)))</formula>
    </cfRule>
    <cfRule type="containsText" dxfId="7453" priority="11998" operator="containsText" text="ENTREGADO">
      <formula>NOT(ISERROR(SEARCH("ENTREGADO",A32)))</formula>
    </cfRule>
    <cfRule type="containsText" dxfId="7452" priority="11997" operator="containsText" text="PENDIENTE">
      <formula>NOT(ISERROR(SEARCH("PENDIENTE",A32)))</formula>
    </cfRule>
    <cfRule type="containsText" dxfId="7451" priority="11994" operator="containsText" text="PENDIENTE">
      <formula>NOT(ISERROR(SEARCH("PENDIENTE",A32)))</formula>
    </cfRule>
    <cfRule type="containsText" dxfId="7450" priority="12003" operator="containsText" text="ENTREGADO">
      <formula>NOT(ISERROR(SEARCH("ENTREGADO",A32)))</formula>
    </cfRule>
    <cfRule type="containsText" dxfId="7449" priority="12000" operator="containsText" text="PENDIENTE">
      <formula>NOT(ISERROR(SEARCH("PENDIENTE",A32)))</formula>
    </cfRule>
    <cfRule type="containsText" dxfId="7448" priority="12001" operator="containsText" text="ENTREGADO">
      <formula>NOT(ISERROR(SEARCH("ENTREGADO",A32)))</formula>
    </cfRule>
  </conditionalFormatting>
  <conditionalFormatting sqref="A33 D33">
    <cfRule type="containsText" dxfId="7447" priority="5943" operator="containsText" text="ENTREGADO">
      <formula>NOT(ISERROR(SEARCH("ENTREGADO",A33)))</formula>
    </cfRule>
  </conditionalFormatting>
  <conditionalFormatting sqref="A33 P33 T33 BH33:XFD33">
    <cfRule type="containsText" dxfId="7446" priority="5954" operator="containsText" text="ENTREGADO">
      <formula>NOT(ISERROR(SEARCH("ENTREGADO",A33)))</formula>
    </cfRule>
  </conditionalFormatting>
  <conditionalFormatting sqref="A33 T33 BH33:XFD33 P33">
    <cfRule type="containsText" dxfId="7445" priority="5953" operator="containsText" text="PRIORIDAD">
      <formula>NOT(ISERROR(SEARCH("PRIORIDAD",A33)))</formula>
    </cfRule>
  </conditionalFormatting>
  <conditionalFormatting sqref="A33 T33 BH33:XFD33">
    <cfRule type="containsText" dxfId="7444" priority="5949" operator="containsText" text="PENDIENTE">
      <formula>NOT(ISERROR(SEARCH("PENDIENTE",#REF!)))</formula>
    </cfRule>
    <cfRule type="containsText" dxfId="7443" priority="5950" operator="containsText" text="PENDIENTE">
      <formula>NOT(ISERROR(SEARCH("PENDIENTE",A33)))</formula>
    </cfRule>
  </conditionalFormatting>
  <conditionalFormatting sqref="A33">
    <cfRule type="containsText" dxfId="7442" priority="5944" operator="containsText" text="ENTREGADO">
      <formula>NOT(ISERROR(SEARCH("ENTREGADO",A33)))</formula>
    </cfRule>
    <cfRule type="containsText" dxfId="7441" priority="5905" operator="containsText" text="ENTREGADO">
      <formula>NOT(ISERROR(SEARCH("ENTREGADO",#REF!)))</formula>
    </cfRule>
    <cfRule type="containsText" dxfId="7440" priority="5908" operator="containsText" text="PENDIENTE">
      <formula>NOT(ISERROR(SEARCH("PENDIENTE",A33)))</formula>
    </cfRule>
  </conditionalFormatting>
  <conditionalFormatting sqref="A34 A32">
    <cfRule type="containsText" dxfId="7439" priority="11981" operator="containsText" text="ENTREGADO">
      <formula>NOT(ISERROR(SEARCH("ENTREGADO",A32)))</formula>
    </cfRule>
  </conditionalFormatting>
  <conditionalFormatting sqref="A34">
    <cfRule type="containsText" dxfId="7438" priority="11984" operator="containsText" text="ENTREGADO">
      <formula>NOT(ISERROR(SEARCH("ENTREGADO",A34)))</formula>
    </cfRule>
    <cfRule type="containsText" dxfId="7437" priority="11978" operator="containsText" text="ENTREGADO">
      <formula>NOT(ISERROR(SEARCH("ENTREGADO",A34)))</formula>
    </cfRule>
    <cfRule type="containsText" dxfId="7436" priority="11987" operator="containsText" text="ENTREGADO">
      <formula>NOT(ISERROR(SEARCH("ENTREGADO",A34)))</formula>
    </cfRule>
    <cfRule type="containsText" dxfId="7435" priority="11979" operator="containsText" text="PENDIENTE">
      <formula>NOT(ISERROR(SEARCH("PENDIENTE",#REF!)))</formula>
    </cfRule>
    <cfRule type="containsText" dxfId="7434" priority="11980" operator="containsText" text="PENDIENTE">
      <formula>NOT(ISERROR(SEARCH("PENDIENTE",A34)))</formula>
    </cfRule>
    <cfRule type="containsText" dxfId="7433" priority="11986" operator="containsText" text="PENDIENTE">
      <formula>NOT(ISERROR(SEARCH("PENDIENTE",A34)))</formula>
    </cfRule>
    <cfRule type="containsText" dxfId="7432" priority="11988" operator="containsText" text="PENDIENTE">
      <formula>NOT(ISERROR(SEARCH("PENDIENTE",A34)))</formula>
    </cfRule>
    <cfRule type="containsText" dxfId="7431" priority="11983" operator="containsText" text="PENDIENTE">
      <formula>NOT(ISERROR(SEARCH("PENDIENTE",A34)))</formula>
    </cfRule>
    <cfRule type="containsText" dxfId="7430" priority="11989" operator="containsText" text="ENTREGADO">
      <formula>NOT(ISERROR(SEARCH("ENTREGADO",A34)))</formula>
    </cfRule>
  </conditionalFormatting>
  <conditionalFormatting sqref="A34:A37">
    <cfRule type="containsText" dxfId="7429" priority="11985" operator="containsText" text="PRIORIDAD">
      <formula>NOT(ISERROR(SEARCH("PRIORIDAD",A34)))</formula>
    </cfRule>
  </conditionalFormatting>
  <conditionalFormatting sqref="A35 T35 V35:X35 AD35:AG35 AI35:AL35 AN35:AO35 AR35:BC35 BH35:XFD35">
    <cfRule type="containsText" dxfId="7428" priority="17298" operator="containsText" text="ENTREGADO">
      <formula>NOT(ISERROR(SEARCH("ENTREGADO",A35)))</formula>
    </cfRule>
  </conditionalFormatting>
  <conditionalFormatting sqref="A35">
    <cfRule type="containsText" dxfId="7427" priority="17285" operator="containsText" text="ENTREGADO">
      <formula>NOT(ISERROR(SEARCH("ENTREGADO",A35)))</formula>
    </cfRule>
    <cfRule type="containsText" dxfId="7426" priority="17284" operator="containsText" text="PENDIENTE">
      <formula>NOT(ISERROR(SEARCH("PENDIENTE",A35)))</formula>
    </cfRule>
    <cfRule type="containsText" dxfId="7425" priority="17291" operator="containsText" text="ENTREGADO">
      <formula>NOT(ISERROR(SEARCH("ENTREGADO",#REF!)))</formula>
    </cfRule>
    <cfRule type="containsText" dxfId="7424" priority="17294" operator="containsText" text="ENTREGADO">
      <formula>NOT(ISERROR(SEARCH("ENTREGADO",A35)))</formula>
    </cfRule>
  </conditionalFormatting>
  <conditionalFormatting sqref="A35:A36 BC35:BC36 BH35:XFD36 T36 V36:X36 AD36:AG36 AI36:AO36 AR36:BB36">
    <cfRule type="containsText" dxfId="7423" priority="17178" operator="containsText" text="ENTREGADO">
      <formula>NOT(ISERROR(SEARCH("ENTREGADO",A35)))</formula>
    </cfRule>
  </conditionalFormatting>
  <conditionalFormatting sqref="A36">
    <cfRule type="containsText" dxfId="7422" priority="17164" operator="containsText" text="PENDIENTE">
      <formula>NOT(ISERROR(SEARCH("PENDIENTE",A36)))</formula>
    </cfRule>
    <cfRule type="containsText" dxfId="7421" priority="17174" operator="containsText" text="ENTREGADO">
      <formula>NOT(ISERROR(SEARCH("ENTREGADO",A36)))</formula>
    </cfRule>
    <cfRule type="containsText" dxfId="7420" priority="17171" operator="containsText" text="ENTREGADO">
      <formula>NOT(ISERROR(SEARCH("ENTREGADO",#REF!)))</formula>
    </cfRule>
    <cfRule type="containsText" dxfId="7419" priority="17165" operator="containsText" text="ENTREGADO">
      <formula>NOT(ISERROR(SEARCH("ENTREGADO",A36)))</formula>
    </cfRule>
  </conditionalFormatting>
  <conditionalFormatting sqref="A36:A37 BC36:BC37 BH36:XFD37 T37 V37:X37 AD37:AG37 AI37:AL37 AN37:AO37 AR37:BB37">
    <cfRule type="containsText" dxfId="7418" priority="15759" operator="containsText" text="ENTREGADO">
      <formula>NOT(ISERROR(SEARCH("ENTREGADO",A36)))</formula>
    </cfRule>
  </conditionalFormatting>
  <conditionalFormatting sqref="A37 BC37:BC38 BH37:XFD38">
    <cfRule type="containsText" dxfId="7417" priority="15673" operator="containsText" text="ENTREGADO">
      <formula>NOT(ISERROR(SEARCH("ENTREGADO",A37)))</formula>
    </cfRule>
  </conditionalFormatting>
  <conditionalFormatting sqref="A37">
    <cfRule type="containsText" dxfId="7416" priority="15752" operator="containsText" text="ENTREGADO">
      <formula>NOT(ISERROR(SEARCH("ENTREGADO",#REF!)))</formula>
    </cfRule>
    <cfRule type="containsText" dxfId="7415" priority="15755" operator="containsText" text="ENTREGADO">
      <formula>NOT(ISERROR(SEARCH("ENTREGADO",A37)))</formula>
    </cfRule>
    <cfRule type="containsText" dxfId="7414" priority="15746" operator="containsText" text="ENTREGADO">
      <formula>NOT(ISERROR(SEARCH("ENTREGADO",A37)))</formula>
    </cfRule>
    <cfRule type="containsText" dxfId="7413" priority="15745" operator="containsText" text="PENDIENTE">
      <formula>NOT(ISERROR(SEARCH("PENDIENTE",A37)))</formula>
    </cfRule>
  </conditionalFormatting>
  <conditionalFormatting sqref="A38">
    <cfRule type="containsText" dxfId="7412" priority="1786" operator="containsText" text="PENDIENTE">
      <formula>NOT(ISERROR(SEARCH("PENDIENTE",A38)))</formula>
    </cfRule>
    <cfRule type="containsText" dxfId="7411" priority="1781" operator="containsText" text="ENTREGADO">
      <formula>NOT(ISERROR(SEARCH("ENTREGADO",A38)))</formula>
    </cfRule>
    <cfRule type="containsText" dxfId="7410" priority="1780" operator="containsText" text="PENDIENTE">
      <formula>NOT(ISERROR(SEARCH("PENDIENTE",A38)))</formula>
    </cfRule>
    <cfRule type="containsText" dxfId="7409" priority="1779" operator="containsText" text="PENDIENTE">
      <formula>NOT(ISERROR(SEARCH("PENDIENTE",#REF!)))</formula>
    </cfRule>
    <cfRule type="containsText" dxfId="7408" priority="1789" operator="containsText" text="ENTREGADO">
      <formula>NOT(ISERROR(SEARCH("ENTREGADO",A38)))</formula>
    </cfRule>
    <cfRule type="containsText" dxfId="7407" priority="1788" operator="containsText" text="PENDIENTE">
      <formula>NOT(ISERROR(SEARCH("PENDIENTE",A38)))</formula>
    </cfRule>
    <cfRule type="containsText" dxfId="7406" priority="1787" operator="containsText" text="ENTREGADO">
      <formula>NOT(ISERROR(SEARCH("ENTREGADO",A38)))</formula>
    </cfRule>
    <cfRule type="containsText" dxfId="7405" priority="1777" operator="containsText" text="ENTREGADO">
      <formula>NOT(ISERROR(SEARCH("ENTREGADO",#REF!)))</formula>
    </cfRule>
    <cfRule type="containsText" dxfId="7404" priority="1784" operator="containsText" text="ENTREGADO">
      <formula>NOT(ISERROR(SEARCH("ENTREGADO",A38)))</formula>
    </cfRule>
    <cfRule type="containsText" dxfId="7403" priority="1785" operator="containsText" text="PRIORIDAD">
      <formula>NOT(ISERROR(SEARCH("PRIORIDAD",A38)))</formula>
    </cfRule>
    <cfRule type="containsText" dxfId="7402" priority="1783" operator="containsText" text="PENDIENTE">
      <formula>NOT(ISERROR(SEARCH("PENDIENTE",A38)))</formula>
    </cfRule>
    <cfRule type="containsText" dxfId="7401" priority="1782" operator="containsText" text="PENDIENTE">
      <formula>NOT(ISERROR(SEARCH("PENDIENTE",#REF!)))</formula>
    </cfRule>
    <cfRule type="containsText" dxfId="7400" priority="1778" operator="containsText" text="ENTREGADO">
      <formula>NOT(ISERROR(SEARCH("ENTREGADO",A38)))</formula>
    </cfRule>
  </conditionalFormatting>
  <conditionalFormatting sqref="A39 G39:H39 P39 J39:N39">
    <cfRule type="containsText" dxfId="7399" priority="4263" operator="containsText" text="ENTREGADO">
      <formula>NOT(ISERROR(SEARCH("ENTREGADO",A39)))</formula>
    </cfRule>
  </conditionalFormatting>
  <conditionalFormatting sqref="A39 P39">
    <cfRule type="containsText" dxfId="7398" priority="4226" operator="containsText" text="ENTREGADO">
      <formula>NOT(ISERROR(SEARCH("ENTREGADO",A39)))</formula>
    </cfRule>
    <cfRule type="containsText" dxfId="7397" priority="4228" operator="containsText" text="PENDIENTE">
      <formula>NOT(ISERROR(SEARCH("PENDIENTE",A39)))</formula>
    </cfRule>
  </conditionalFormatting>
  <conditionalFormatting sqref="A39 T39 V39:X39 BH39:XFD39 BC39 P39 G39:H39 J39:N39">
    <cfRule type="containsText" dxfId="7396" priority="4234" operator="containsText" text="ENTREGADO">
      <formula>NOT(ISERROR(SEARCH("ENTREGADO",A39)))</formula>
    </cfRule>
  </conditionalFormatting>
  <conditionalFormatting sqref="A39 BB39">
    <cfRule type="containsText" dxfId="7395" priority="4223" operator="containsText" text="ENTREGADO">
      <formula>NOT(ISERROR(SEARCH("ENTREGADO",#REF!)))</formula>
    </cfRule>
  </conditionalFormatting>
  <conditionalFormatting sqref="A39 BB39:BC39 G39:H39 J39:N39">
    <cfRule type="containsText" dxfId="7394" priority="4227" operator="containsText" text="PENDIENTE">
      <formula>NOT(ISERROR(SEARCH("PENDIENTE",#REF!)))</formula>
    </cfRule>
  </conditionalFormatting>
  <conditionalFormatting sqref="A39 BH39:XFD39 T39 V39:X39">
    <cfRule type="containsText" dxfId="7393" priority="4232" operator="containsText" text="PENDIENTE">
      <formula>NOT(ISERROR(SEARCH("PENDIENTE",#REF!)))</formula>
    </cfRule>
  </conditionalFormatting>
  <conditionalFormatting sqref="A39">
    <cfRule type="containsText" dxfId="7392" priority="4231" operator="containsText" text="ENTREGADO">
      <formula>NOT(ISERROR(SEARCH("ENTREGADO",A39)))</formula>
    </cfRule>
    <cfRule type="containsText" dxfId="7391" priority="4253" operator="containsText" text="PENDIENTE">
      <formula>NOT(ISERROR(SEARCH("PENDIENTE",A39)))</formula>
    </cfRule>
    <cfRule type="containsText" dxfId="7390" priority="4254" operator="containsText" text="ENTREGADO">
      <formula>NOT(ISERROR(SEARCH("ENTREGADO",A39)))</formula>
    </cfRule>
    <cfRule type="containsText" dxfId="7389" priority="4233" operator="containsText" text="PENDIENTE">
      <formula>NOT(ISERROR(SEARCH("PENDIENTE",A39)))</formula>
    </cfRule>
  </conditionalFormatting>
  <conditionalFormatting sqref="A40">
    <cfRule type="containsText" dxfId="7388" priority="7126" operator="containsText" text="PENDIENTE">
      <formula>NOT(ISERROR(SEARCH("PENDIENTE",#REF!)))</formula>
    </cfRule>
    <cfRule type="containsText" dxfId="7387" priority="7123" operator="containsText" text="PENDIENTE">
      <formula>NOT(ISERROR(SEARCH("PENDIENTE",#REF!)))</formula>
    </cfRule>
    <cfRule type="containsText" dxfId="7386" priority="7125" operator="containsText" text="ENTREGADO">
      <formula>NOT(ISERROR(SEARCH("ENTREGADO",A40)))</formula>
    </cfRule>
    <cfRule type="containsText" dxfId="7385" priority="7127" operator="containsText" text="PENDIENTE">
      <formula>NOT(ISERROR(SEARCH("PENDIENTE",A40)))</formula>
    </cfRule>
    <cfRule type="containsText" dxfId="7384" priority="7124" operator="containsText" text="PENDIENTE">
      <formula>NOT(ISERROR(SEARCH("PENDIENTE",A40)))</formula>
    </cfRule>
    <cfRule type="containsText" dxfId="7383" priority="7128" operator="containsText" text="ENTREGADO">
      <formula>NOT(ISERROR(SEARCH("ENTREGADO",A40)))</formula>
    </cfRule>
    <cfRule type="containsText" dxfId="7382" priority="7122" operator="containsText" text="ENTREGADO">
      <formula>NOT(ISERROR(SEARCH("ENTREGADO",A40)))</formula>
    </cfRule>
    <cfRule type="containsText" dxfId="7381" priority="7131" operator="containsText" text="ENTREGADO">
      <formula>NOT(ISERROR(SEARCH("ENTREGADO",A40)))</formula>
    </cfRule>
    <cfRule type="containsText" dxfId="7380" priority="7132" operator="containsText" text="PENDIENTE">
      <formula>NOT(ISERROR(SEARCH("PENDIENTE",A40)))</formula>
    </cfRule>
    <cfRule type="containsText" dxfId="7379" priority="7133" operator="containsText" text="ENTREGADO">
      <formula>NOT(ISERROR(SEARCH("ENTREGADO",A40)))</formula>
    </cfRule>
    <cfRule type="containsText" dxfId="7378" priority="7121" operator="containsText" text="ENTREGADO">
      <formula>NOT(ISERROR(SEARCH("ENTREGADO",#REF!)))</formula>
    </cfRule>
    <cfRule type="containsText" dxfId="7377" priority="7129" operator="containsText" text="PRIORIDAD">
      <formula>NOT(ISERROR(SEARCH("PRIORIDAD",A40)))</formula>
    </cfRule>
    <cfRule type="containsText" dxfId="7376" priority="7130" operator="containsText" text="PENDIENTE">
      <formula>NOT(ISERROR(SEARCH("PENDIENTE",A40)))</formula>
    </cfRule>
  </conditionalFormatting>
  <conditionalFormatting sqref="A41">
    <cfRule type="containsText" dxfId="7375" priority="3759" operator="containsText" text="PENDIENTE">
      <formula>NOT(ISERROR(SEARCH("PENDIENTE",A41)))</formula>
    </cfRule>
    <cfRule type="containsText" dxfId="7374" priority="3753" operator="containsText" text="ENTREGADO">
      <formula>NOT(ISERROR(SEARCH("ENTREGADO",#REF!)))</formula>
    </cfRule>
    <cfRule type="containsText" dxfId="7373" priority="3758" operator="containsText" text="PENDIENTE">
      <formula>NOT(ISERROR(SEARCH("PENDIENTE",#REF!)))</formula>
    </cfRule>
    <cfRule type="containsText" dxfId="7372" priority="3757" operator="containsText" text="ENTREGADO">
      <formula>NOT(ISERROR(SEARCH("ENTREGADO",A41)))</formula>
    </cfRule>
    <cfRule type="containsText" dxfId="7371" priority="3756" operator="containsText" text="PENDIENTE">
      <formula>NOT(ISERROR(SEARCH("PENDIENTE",A41)))</formula>
    </cfRule>
    <cfRule type="containsText" dxfId="7370" priority="3754" operator="containsText" text="ENTREGADO">
      <formula>NOT(ISERROR(SEARCH("ENTREGADO",A41)))</formula>
    </cfRule>
    <cfRule type="containsText" dxfId="7369" priority="3755" operator="containsText" text="PENDIENTE">
      <formula>NOT(ISERROR(SEARCH("PENDIENTE",#REF!)))</formula>
    </cfRule>
    <cfRule type="containsText" dxfId="7368" priority="3764" operator="containsText" text="PENDIENTE">
      <formula>NOT(ISERROR(SEARCH("PENDIENTE",A41)))</formula>
    </cfRule>
    <cfRule type="containsText" dxfId="7367" priority="3762" operator="containsText" text="PENDIENTE">
      <formula>NOT(ISERROR(SEARCH("PENDIENTE",A41)))</formula>
    </cfRule>
    <cfRule type="containsText" dxfId="7366" priority="3761" operator="containsText" text="PRIORIDAD">
      <formula>NOT(ISERROR(SEARCH("PRIORIDAD",A41)))</formula>
    </cfRule>
    <cfRule type="containsText" dxfId="7365" priority="3760" operator="containsText" text="ENTREGADO">
      <formula>NOT(ISERROR(SEARCH("ENTREGADO",A41)))</formula>
    </cfRule>
    <cfRule type="containsText" dxfId="7364" priority="3765" operator="containsText" text="ENTREGADO">
      <formula>NOT(ISERROR(SEARCH("ENTREGADO",A41)))</formula>
    </cfRule>
    <cfRule type="containsText" dxfId="7363" priority="3763" operator="containsText" text="ENTREGADO">
      <formula>NOT(ISERROR(SEARCH("ENTREGADO",A41)))</formula>
    </cfRule>
  </conditionalFormatting>
  <conditionalFormatting sqref="A42">
    <cfRule type="containsText" dxfId="7362" priority="495" operator="containsText" text="ENTREGADO">
      <formula>NOT(ISERROR(SEARCH("ENTREGADO",#REF!)))</formula>
    </cfRule>
    <cfRule type="containsText" dxfId="7361" priority="496" operator="containsText" text="ENTREGADO">
      <formula>NOT(ISERROR(SEARCH("ENTREGADO",A42)))</formula>
    </cfRule>
    <cfRule type="containsText" dxfId="7360" priority="505" operator="containsText" text="PENDIENTE">
      <formula>NOT(ISERROR(SEARCH("PENDIENTE",A42)))</formula>
    </cfRule>
    <cfRule type="containsText" dxfId="7359" priority="506" operator="containsText" text="ENTREGADO">
      <formula>NOT(ISERROR(SEARCH("ENTREGADO",A42)))</formula>
    </cfRule>
    <cfRule type="containsText" dxfId="7358" priority="497" operator="containsText" text="PENDIENTE">
      <formula>NOT(ISERROR(SEARCH("PENDIENTE",#REF!)))</formula>
    </cfRule>
    <cfRule type="containsText" dxfId="7357" priority="499" operator="containsText" text="ENTREGADO">
      <formula>NOT(ISERROR(SEARCH("ENTREGADO",A42)))</formula>
    </cfRule>
    <cfRule type="containsText" dxfId="7356" priority="500" operator="containsText" text="PENDIENTE">
      <formula>NOT(ISERROR(SEARCH("PENDIENTE",#REF!)))</formula>
    </cfRule>
    <cfRule type="containsText" dxfId="7355" priority="498" operator="containsText" text="PENDIENTE">
      <formula>NOT(ISERROR(SEARCH("PENDIENTE",A42)))</formula>
    </cfRule>
    <cfRule type="containsText" dxfId="7354" priority="501" operator="containsText" text="PENDIENTE">
      <formula>NOT(ISERROR(SEARCH("PENDIENTE",A42)))</formula>
    </cfRule>
    <cfRule type="containsText" dxfId="7353" priority="502" operator="containsText" text="ENTREGADO">
      <formula>NOT(ISERROR(SEARCH("ENTREGADO",A42)))</formula>
    </cfRule>
    <cfRule type="containsText" dxfId="7352" priority="503" operator="containsText" text="PENDIENTE">
      <formula>NOT(ISERROR(SEARCH("PENDIENTE",A42)))</formula>
    </cfRule>
    <cfRule type="containsText" dxfId="7351" priority="504" operator="containsText" text="ENTREGADO">
      <formula>NOT(ISERROR(SEARCH("ENTREGADO",A42)))</formula>
    </cfRule>
  </conditionalFormatting>
  <conditionalFormatting sqref="A42:A44 BC42:BC44 BH42:XFD44">
    <cfRule type="containsText" dxfId="7350" priority="12895" operator="containsText" text="ENTREGADO">
      <formula>NOT(ISERROR(SEARCH("ENTREGADO",A42)))</formula>
    </cfRule>
  </conditionalFormatting>
  <conditionalFormatting sqref="A42:A44">
    <cfRule type="containsText" dxfId="7349" priority="12891" operator="containsText" text="ENTREGADO">
      <formula>NOT(ISERROR(SEARCH("ENTREGADO",A42)))</formula>
    </cfRule>
    <cfRule type="containsText" dxfId="7348" priority="12886" operator="containsText" text="ENTREGADO">
      <formula>NOT(ISERROR(SEARCH("ENTREGADO",A42)))</formula>
    </cfRule>
    <cfRule type="containsText" dxfId="7347" priority="12885" operator="containsText" text="PENDIENTE">
      <formula>NOT(ISERROR(SEARCH("PENDIENTE",A42)))</formula>
    </cfRule>
    <cfRule type="containsText" dxfId="7346" priority="12888" operator="containsText" text="ENTREGADO">
      <formula>NOT(ISERROR(SEARCH("ENTREGADO",#REF!)))</formula>
    </cfRule>
  </conditionalFormatting>
  <conditionalFormatting sqref="A42:A45 BD42:XFD45 T45 V45:X45 AD45:AG45 AI45:AL45 AN45:AO45 AR45:BC45">
    <cfRule type="containsText" dxfId="7345" priority="11692" operator="containsText" text="ENTREGADO">
      <formula>NOT(ISERROR(SEARCH("ENTREGADO",A42)))</formula>
    </cfRule>
  </conditionalFormatting>
  <conditionalFormatting sqref="A43">
    <cfRule type="containsText" dxfId="7344" priority="484" operator="containsText" text="ENTREGADO">
      <formula>NOT(ISERROR(SEARCH("ENTREGADO",A43)))</formula>
    </cfRule>
    <cfRule type="containsText" dxfId="7343" priority="483" operator="containsText" text="ENTREGADO">
      <formula>NOT(ISERROR(SEARCH("ENTREGADO",#REF!)))</formula>
    </cfRule>
    <cfRule type="containsText" dxfId="7342" priority="494" operator="containsText" text="ENTREGADO">
      <formula>NOT(ISERROR(SEARCH("ENTREGADO",A43)))</formula>
    </cfRule>
    <cfRule type="containsText" dxfId="7341" priority="491" operator="containsText" text="PENDIENTE">
      <formula>NOT(ISERROR(SEARCH("PENDIENTE",A43)))</formula>
    </cfRule>
    <cfRule type="containsText" dxfId="7340" priority="492" operator="containsText" text="ENTREGADO">
      <formula>NOT(ISERROR(SEARCH("ENTREGADO",A43)))</formula>
    </cfRule>
    <cfRule type="containsText" dxfId="7339" priority="493" operator="containsText" text="PENDIENTE">
      <formula>NOT(ISERROR(SEARCH("PENDIENTE",A43)))</formula>
    </cfRule>
    <cfRule type="containsText" dxfId="7338" priority="490" operator="containsText" text="ENTREGADO">
      <formula>NOT(ISERROR(SEARCH("ENTREGADO",A43)))</formula>
    </cfRule>
    <cfRule type="containsText" dxfId="7337" priority="489" operator="containsText" text="PENDIENTE">
      <formula>NOT(ISERROR(SEARCH("PENDIENTE",A43)))</formula>
    </cfRule>
    <cfRule type="containsText" dxfId="7336" priority="488" operator="containsText" text="PENDIENTE">
      <formula>NOT(ISERROR(SEARCH("PENDIENTE",#REF!)))</formula>
    </cfRule>
    <cfRule type="containsText" dxfId="7335" priority="487" operator="containsText" text="ENTREGADO">
      <formula>NOT(ISERROR(SEARCH("ENTREGADO",A43)))</formula>
    </cfRule>
    <cfRule type="containsText" dxfId="7334" priority="486" operator="containsText" text="PENDIENTE">
      <formula>NOT(ISERROR(SEARCH("PENDIENTE",A43)))</formula>
    </cfRule>
    <cfRule type="containsText" dxfId="7333" priority="485" operator="containsText" text="PENDIENTE">
      <formula>NOT(ISERROR(SEARCH("PENDIENTE",#REF!)))</formula>
    </cfRule>
  </conditionalFormatting>
  <conditionalFormatting sqref="A45 AI45:AL45 AN45:AO45 BC45 BH45:XFD45 T50 V50:X50 AD50:AG50 BH50:XFD50 AR50:BC50 AN50:AO50 AI50:AL50 A50">
    <cfRule type="containsText" dxfId="7332" priority="9211" operator="containsText" text="ENTREGADO">
      <formula>NOT(ISERROR(SEARCH("ENTREGADO",A45)))</formula>
    </cfRule>
  </conditionalFormatting>
  <conditionalFormatting sqref="A45">
    <cfRule type="containsText" dxfId="7331" priority="11688" operator="containsText" text="ENTREGADO">
      <formula>NOT(ISERROR(SEARCH("ENTREGADO",A45)))</formula>
    </cfRule>
    <cfRule type="containsText" dxfId="7330" priority="11685" operator="containsText" text="ENTREGADO">
      <formula>NOT(ISERROR(SEARCH("ENTREGADO",#REF!)))</formula>
    </cfRule>
    <cfRule type="containsText" dxfId="7329" priority="11679" operator="containsText" text="ENTREGADO">
      <formula>NOT(ISERROR(SEARCH("ENTREGADO",A45)))</formula>
    </cfRule>
    <cfRule type="containsText" dxfId="7328" priority="11678" operator="containsText" text="PENDIENTE">
      <formula>NOT(ISERROR(SEARCH("PENDIENTE",A45)))</formula>
    </cfRule>
  </conditionalFormatting>
  <conditionalFormatting sqref="A46:A49 AI46:AL49 AN46:AO49 BC46:BC49 BH46:XFD49">
    <cfRule type="containsText" dxfId="7327" priority="4380" operator="containsText" text="ENTREGADO">
      <formula>NOT(ISERROR(SEARCH("ENTREGADO",A46)))</formula>
    </cfRule>
  </conditionalFormatting>
  <conditionalFormatting sqref="A46:A49 AR46:XFD49 T46:T49 V46:X49 AD46:AG49 AI46:AL49 AN46:AO49">
    <cfRule type="containsText" dxfId="7326" priority="4419" operator="containsText" text="ENTREGADO">
      <formula>NOT(ISERROR(SEARCH("ENTREGADO",A46)))</formula>
    </cfRule>
  </conditionalFormatting>
  <conditionalFormatting sqref="A46:A49">
    <cfRule type="containsText" dxfId="7325" priority="4413" operator="containsText" text="ENTREGADO">
      <formula>NOT(ISERROR(SEARCH("ENTREGADO",A46)))</formula>
    </cfRule>
    <cfRule type="containsText" dxfId="7324" priority="4414" operator="containsText" text="ENTREGADO">
      <formula>NOT(ISERROR(SEARCH("ENTREGADO",#REF!)))</formula>
    </cfRule>
    <cfRule type="containsText" dxfId="7323" priority="4415" operator="containsText" text="ENTREGADO">
      <formula>NOT(ISERROR(SEARCH("ENTREGADO",A46)))</formula>
    </cfRule>
    <cfRule type="containsText" dxfId="7322" priority="4412" operator="containsText" text="PENDIENTE">
      <formula>NOT(ISERROR(SEARCH("PENDIENTE",A46)))</formula>
    </cfRule>
  </conditionalFormatting>
  <conditionalFormatting sqref="A46:A50">
    <cfRule type="containsText" dxfId="7321" priority="4365" operator="containsText" text="PRIORIDAD">
      <formula>NOT(ISERROR(SEARCH("PRIORIDAD",A46)))</formula>
    </cfRule>
  </conditionalFormatting>
  <conditionalFormatting sqref="A50">
    <cfRule type="containsText" dxfId="7320" priority="9204" operator="containsText" text="ENTREGADO">
      <formula>NOT(ISERROR(SEARCH("ENTREGADO",#REF!)))</formula>
    </cfRule>
    <cfRule type="containsText" dxfId="7319" priority="9197" operator="containsText" text="PENDIENTE">
      <formula>NOT(ISERROR(SEARCH("PENDIENTE",A50)))</formula>
    </cfRule>
    <cfRule type="containsText" dxfId="7318" priority="9198" operator="containsText" text="ENTREGADO">
      <formula>NOT(ISERROR(SEARCH("ENTREGADO",A50)))</formula>
    </cfRule>
    <cfRule type="containsText" dxfId="7317" priority="9207" operator="containsText" text="ENTREGADO">
      <formula>NOT(ISERROR(SEARCH("ENTREGADO",A50)))</formula>
    </cfRule>
  </conditionalFormatting>
  <conditionalFormatting sqref="A51 V51:X51 AD51:AG51 AI51:AL51 AN51:AO51 AR51:BC51 BH51:XFD51">
    <cfRule type="containsText" dxfId="7316" priority="11410" operator="containsText" text="ENTREGADO">
      <formula>NOT(ISERROR(SEARCH("ENTREGADO",A51)))</formula>
    </cfRule>
  </conditionalFormatting>
  <conditionalFormatting sqref="A51">
    <cfRule type="containsText" dxfId="7315" priority="11403" operator="containsText" text="ENTREGADO">
      <formula>NOT(ISERROR(SEARCH("ENTREGADO",#REF!)))</formula>
    </cfRule>
    <cfRule type="containsText" dxfId="7314" priority="11406" operator="containsText" text="ENTREGADO">
      <formula>NOT(ISERROR(SEARCH("ENTREGADO",A51)))</formula>
    </cfRule>
    <cfRule type="containsText" dxfId="7313" priority="11396" operator="containsText" text="PENDIENTE">
      <formula>NOT(ISERROR(SEARCH("PENDIENTE",A51)))</formula>
    </cfRule>
    <cfRule type="containsText" dxfId="7312" priority="11397" operator="containsText" text="ENTREGADO">
      <formula>NOT(ISERROR(SEARCH("ENTREGADO",A51)))</formula>
    </cfRule>
  </conditionalFormatting>
  <conditionalFormatting sqref="A51:A53 AD51:AG53 AI51:AL53 AN51:AO53 BC51:XFD53 T52:T53 V52:X53 AR52:BB53 BD57:XFD57">
    <cfRule type="containsText" dxfId="7311" priority="11128" operator="containsText" text="ENTREGADO">
      <formula>NOT(ISERROR(SEARCH("ENTREGADO",A51)))</formula>
    </cfRule>
  </conditionalFormatting>
  <conditionalFormatting sqref="A52:A53 A57">
    <cfRule type="containsText" dxfId="7310" priority="11121" operator="containsText" text="ENTREGADO">
      <formula>NOT(ISERROR(SEARCH("ENTREGADO",#REF!)))</formula>
    </cfRule>
  </conditionalFormatting>
  <conditionalFormatting sqref="A52:A53">
    <cfRule type="containsText" dxfId="7309" priority="11110" operator="containsText" text="ENTREGADO">
      <formula>NOT(ISERROR(SEARCH("ENTREGADO",A52)))</formula>
    </cfRule>
    <cfRule type="containsText" dxfId="7308" priority="11114" operator="containsText" text="PENDIENTE">
      <formula>NOT(ISERROR(SEARCH("PENDIENTE",A52)))</formula>
    </cfRule>
    <cfRule type="containsText" dxfId="7307" priority="11115" operator="containsText" text="ENTREGADO">
      <formula>NOT(ISERROR(SEARCH("ENTREGADO",A52)))</formula>
    </cfRule>
    <cfRule type="containsText" dxfId="7306" priority="11124" operator="containsText" text="ENTREGADO">
      <formula>NOT(ISERROR(SEARCH("ENTREGADO",A52)))</formula>
    </cfRule>
  </conditionalFormatting>
  <conditionalFormatting sqref="A53">
    <cfRule type="containsText" dxfId="7305" priority="240" operator="containsText" text="ENTREGADO">
      <formula>NOT(ISERROR(SEARCH("ENTREGADO",A53)))</formula>
    </cfRule>
    <cfRule type="containsText" dxfId="7304" priority="236" operator="containsText" text="ENTREGADO">
      <formula>NOT(ISERROR(SEARCH("ENTREGADO",A53)))</formula>
    </cfRule>
    <cfRule type="containsText" dxfId="7303" priority="242" operator="containsText" text="ENTREGADO">
      <formula>NOT(ISERROR(SEARCH("ENTREGADO",#REF!)))</formula>
    </cfRule>
    <cfRule type="containsText" dxfId="7302" priority="243" operator="containsText" text="ENTREGADO">
      <formula>NOT(ISERROR(SEARCH("ENTREGADO",A53)))</formula>
    </cfRule>
    <cfRule type="containsText" dxfId="7301" priority="239" operator="containsText" text="PENDIENTE">
      <formula>NOT(ISERROR(SEARCH("PENDIENTE",A53)))</formula>
    </cfRule>
  </conditionalFormatting>
  <conditionalFormatting sqref="A54">
    <cfRule type="containsText" dxfId="7300" priority="7850" operator="containsText" text="ENTREGADO">
      <formula>NOT(ISERROR(SEARCH("ENTREGADO",A54)))</formula>
    </cfRule>
    <cfRule type="containsText" dxfId="7299" priority="7840" operator="containsText" text="PENDIENTE">
      <formula>NOT(ISERROR(SEARCH("PENDIENTE",A54)))</formula>
    </cfRule>
    <cfRule type="containsText" dxfId="7298" priority="7847" operator="containsText" text="ENTREGADO">
      <formula>NOT(ISERROR(SEARCH("ENTREGADO",#REF!)))</formula>
    </cfRule>
    <cfRule type="containsText" dxfId="7297" priority="7836" operator="containsText" text="ENTREGADO">
      <formula>NOT(ISERROR(SEARCH("ENTREGADO",A54)))</formula>
    </cfRule>
    <cfRule type="containsText" dxfId="7296" priority="7841" operator="containsText" text="ENTREGADO">
      <formula>NOT(ISERROR(SEARCH("ENTREGADO",A54)))</formula>
    </cfRule>
  </conditionalFormatting>
  <conditionalFormatting sqref="A55">
    <cfRule type="containsText" dxfId="7295" priority="510" operator="containsText" text="ENTREGADO">
      <formula>NOT(ISERROR(SEARCH("ENTREGADO",#REF!)))</formula>
    </cfRule>
    <cfRule type="containsText" dxfId="7294" priority="514" operator="containsText" text="ENTREGADO">
      <formula>NOT(ISERROR(SEARCH("ENTREGADO",A55)))</formula>
    </cfRule>
    <cfRule type="containsText" dxfId="7293" priority="515" operator="containsText" text="PRIORIDAD">
      <formula>NOT(ISERROR(SEARCH("PRIORIDAD",A55)))</formula>
    </cfRule>
    <cfRule type="containsText" dxfId="7292" priority="509" operator="containsText" text="ENTREGADO">
      <formula>NOT(ISERROR(SEARCH("ENTREGADO",A55)))</formula>
    </cfRule>
    <cfRule type="containsText" dxfId="7291" priority="507" operator="containsText" text="ENTREGADO">
      <formula>NOT(ISERROR(SEARCH("ENTREGADO",A55)))</formula>
    </cfRule>
    <cfRule type="containsText" dxfId="7290" priority="508" operator="containsText" text="PENDIENTE">
      <formula>NOT(ISERROR(SEARCH("PENDIENTE",A55)))</formula>
    </cfRule>
    <cfRule type="containsText" dxfId="7289" priority="511" operator="containsText" text="ENTREGADO">
      <formula>NOT(ISERROR(SEARCH("ENTREGADO",A55)))</formula>
    </cfRule>
    <cfRule type="containsText" dxfId="7288" priority="512" operator="containsText" text="PENDIENTE">
      <formula>NOT(ISERROR(SEARCH("PENDIENTE",#REF!)))</formula>
    </cfRule>
    <cfRule type="containsText" dxfId="7287" priority="513" operator="containsText" text="PENDIENTE">
      <formula>NOT(ISERROR(SEARCH("PENDIENTE",A55)))</formula>
    </cfRule>
  </conditionalFormatting>
  <conditionalFormatting sqref="A56 T56 V56:X56 AR56:XFD56">
    <cfRule type="containsText" dxfId="7286" priority="7002" operator="containsText" text="ENTREGADO">
      <formula>NOT(ISERROR(SEARCH("ENTREGADO",A56)))</formula>
    </cfRule>
  </conditionalFormatting>
  <conditionalFormatting sqref="A56">
    <cfRule type="containsText" dxfId="7285" priority="6991" operator="containsText" text="ENTREGADO">
      <formula>NOT(ISERROR(SEARCH("ENTREGADO",A56)))</formula>
    </cfRule>
    <cfRule type="containsText" dxfId="7284" priority="6997" operator="containsText" text="ENTREGADO">
      <formula>NOT(ISERROR(SEARCH("ENTREGADO",#REF!)))</formula>
    </cfRule>
    <cfRule type="containsText" dxfId="7283" priority="6995" operator="containsText" text="ENTREGADO">
      <formula>NOT(ISERROR(SEARCH("ENTREGADO",A56)))</formula>
    </cfRule>
    <cfRule type="containsText" dxfId="7282" priority="6998" operator="containsText" text="ENTREGADO">
      <formula>NOT(ISERROR(SEARCH("ENTREGADO",A56)))</formula>
    </cfRule>
    <cfRule type="containsText" dxfId="7281" priority="6994" operator="containsText" text="PENDIENTE">
      <formula>NOT(ISERROR(SEARCH("PENDIENTE",A56)))</formula>
    </cfRule>
    <cfRule type="containsText" dxfId="7280" priority="6935" operator="containsText" text="PRIORIDAD">
      <formula>NOT(ISERROR(SEARCH("PRIORIDAD",A56)))</formula>
    </cfRule>
  </conditionalFormatting>
  <conditionalFormatting sqref="A58 A62">
    <cfRule type="containsText" dxfId="7279" priority="9074" operator="containsText" text="ENTREGADO">
      <formula>NOT(ISERROR(SEARCH("ENTREGADO",#REF!)))</formula>
    </cfRule>
  </conditionalFormatting>
  <conditionalFormatting sqref="A58">
    <cfRule type="containsText" dxfId="7278" priority="9077" operator="containsText" text="ENTREGADO">
      <formula>NOT(ISERROR(SEARCH("ENTREGADO",A58)))</formula>
    </cfRule>
    <cfRule type="containsText" dxfId="7277" priority="9068" operator="containsText" text="ENTREGADO">
      <formula>NOT(ISERROR(SEARCH("ENTREGADO",A58)))</formula>
    </cfRule>
    <cfRule type="containsText" dxfId="7276" priority="9063" operator="containsText" text="ENTREGADO">
      <formula>NOT(ISERROR(SEARCH("ENTREGADO",A58)))</formula>
    </cfRule>
    <cfRule type="containsText" dxfId="7275" priority="9067" operator="containsText" text="PENDIENTE">
      <formula>NOT(ISERROR(SEARCH("PENDIENTE",A58)))</formula>
    </cfRule>
  </conditionalFormatting>
  <conditionalFormatting sqref="A58:A59">
    <cfRule type="containsText" dxfId="7274" priority="3524" operator="containsText" text="PRIORIDAD">
      <formula>NOT(ISERROR(SEARCH("PRIORIDAD",A58)))</formula>
    </cfRule>
  </conditionalFormatting>
  <conditionalFormatting sqref="A59">
    <cfRule type="containsText" dxfId="7273" priority="3528" operator="containsText" text="PENDIENTE">
      <formula>NOT(ISERROR(SEARCH("PENDIENTE",A59)))</formula>
    </cfRule>
    <cfRule type="containsText" dxfId="7272" priority="3525" operator="containsText" text="ENTREGADO">
      <formula>NOT(ISERROR(SEARCH("ENTREGADO",A59)))</formula>
    </cfRule>
    <cfRule type="containsText" dxfId="7271" priority="3529" operator="containsText" text="ENTREGADO">
      <formula>NOT(ISERROR(SEARCH("ENTREGADO",A59)))</formula>
    </cfRule>
    <cfRule type="containsText" dxfId="7270" priority="3530" operator="containsText" text="ENTREGADO">
      <formula>NOT(ISERROR(SEARCH("ENTREGADO",#REF!)))</formula>
    </cfRule>
    <cfRule type="containsText" dxfId="7269" priority="3531" operator="containsText" text="ENTREGADO">
      <formula>NOT(ISERROR(SEARCH("ENTREGADO",A59)))</formula>
    </cfRule>
  </conditionalFormatting>
  <conditionalFormatting sqref="A60">
    <cfRule type="containsText" dxfId="7268" priority="4697" operator="containsText" text="ENTREGADO">
      <formula>NOT(ISERROR(SEARCH("ENTREGADO",#REF!)))</formula>
    </cfRule>
    <cfRule type="containsText" dxfId="7267" priority="4695" operator="containsText" text="PENDIENTE">
      <formula>NOT(ISERROR(SEARCH("PENDIENTE",A60)))</formula>
    </cfRule>
    <cfRule type="containsText" dxfId="7266" priority="4696" operator="containsText" text="ENTREGADO">
      <formula>NOT(ISERROR(SEARCH("ENTREGADO",A60)))</formula>
    </cfRule>
    <cfRule type="containsText" dxfId="7265" priority="4692" operator="containsText" text="ENTREGADO">
      <formula>NOT(ISERROR(SEARCH("ENTREGADO",A60)))</formula>
    </cfRule>
    <cfRule type="containsText" dxfId="7264" priority="4698" operator="containsText" text="ENTREGADO">
      <formula>NOT(ISERROR(SEARCH("ENTREGADO",A60)))</formula>
    </cfRule>
  </conditionalFormatting>
  <conditionalFormatting sqref="A61">
    <cfRule type="containsText" dxfId="7263" priority="4552" operator="containsText" text="PRIORIDAD">
      <formula>NOT(ISERROR(SEARCH("PRIORIDAD",A61)))</formula>
    </cfRule>
    <cfRule type="containsText" dxfId="7262" priority="4553" operator="containsText" text="ENTREGADO">
      <formula>NOT(ISERROR(SEARCH("ENTREGADO",A61)))</formula>
    </cfRule>
    <cfRule type="containsText" dxfId="7261" priority="4556" operator="containsText" text="PENDIENTE">
      <formula>NOT(ISERROR(SEARCH("PENDIENTE",A61)))</formula>
    </cfRule>
    <cfRule type="containsText" dxfId="7260" priority="4557" operator="containsText" text="ENTREGADO">
      <formula>NOT(ISERROR(SEARCH("ENTREGADO",A61)))</formula>
    </cfRule>
    <cfRule type="containsText" dxfId="7259" priority="4558" operator="containsText" text="ENTREGADO">
      <formula>NOT(ISERROR(SEARCH("ENTREGADO",#REF!)))</formula>
    </cfRule>
    <cfRule type="containsText" dxfId="7258" priority="4559" operator="containsText" text="ENTREGADO">
      <formula>NOT(ISERROR(SEARCH("ENTREGADO",A61)))</formula>
    </cfRule>
  </conditionalFormatting>
  <conditionalFormatting sqref="A63">
    <cfRule type="containsText" dxfId="7257" priority="7404" operator="containsText" text="ENTREGADO">
      <formula>NOT(ISERROR(SEARCH("ENTREGADO",A63)))</formula>
    </cfRule>
    <cfRule type="containsText" dxfId="7256" priority="7403" operator="containsText" text="PENDIENTE">
      <formula>NOT(ISERROR(SEARCH("PENDIENTE",A63)))</formula>
    </cfRule>
    <cfRule type="containsText" dxfId="7255" priority="7402" operator="containsText" text="ENTREGADO">
      <formula>NOT(ISERROR(SEARCH("ENTREGADO",#REF!)))</formula>
    </cfRule>
    <cfRule type="containsText" dxfId="7254" priority="7409" operator="containsText" text="ENTREGADO">
      <formula>NOT(ISERROR(SEARCH("ENTREGADO",A63)))</formula>
    </cfRule>
    <cfRule type="containsText" dxfId="7253" priority="7407" operator="containsText" text="PENDIENTE">
      <formula>NOT(ISERROR(SEARCH("PENDIENTE",A63)))</formula>
    </cfRule>
    <cfRule type="containsText" dxfId="7252" priority="7406" operator="containsText" text="PENDIENTE">
      <formula>NOT(ISERROR(SEARCH("PENDIENTE",#REF!)))</formula>
    </cfRule>
    <cfRule type="containsText" dxfId="7251" priority="7405" operator="containsText" text="ENTREGADO">
      <formula>NOT(ISERROR(SEARCH("ENTREGADO",A63)))</formula>
    </cfRule>
  </conditionalFormatting>
  <conditionalFormatting sqref="A63:A67">
    <cfRule type="containsText" dxfId="7250" priority="7408" operator="containsText" text="PRIORIDAD">
      <formula>NOT(ISERROR(SEARCH("PRIORIDAD",A63)))</formula>
    </cfRule>
  </conditionalFormatting>
  <conditionalFormatting sqref="A64:A67">
    <cfRule type="containsText" dxfId="7249" priority="7393" operator="containsText" text="ENTREGADO">
      <formula>NOT(ISERROR(SEARCH("ENTREGADO",A64)))</formula>
    </cfRule>
    <cfRule type="containsText" dxfId="7248" priority="7389" operator="containsText" text="ENTREGADO">
      <formula>NOT(ISERROR(SEARCH("ENTREGADO",A64)))</formula>
    </cfRule>
    <cfRule type="containsText" dxfId="7247" priority="7390" operator="containsText" text="PENDIENTE">
      <formula>NOT(ISERROR(SEARCH("PENDIENTE",#REF!)))</formula>
    </cfRule>
    <cfRule type="containsText" dxfId="7246" priority="7386" operator="containsText" text="ENTREGADO">
      <formula>NOT(ISERROR(SEARCH("ENTREGADO",#REF!)))</formula>
    </cfRule>
    <cfRule type="containsText" dxfId="7245" priority="7387" operator="containsText" text="PENDIENTE">
      <formula>NOT(ISERROR(SEARCH("PENDIENTE",A64)))</formula>
    </cfRule>
    <cfRule type="containsText" dxfId="7244" priority="7388" operator="containsText" text="ENTREGADO">
      <formula>NOT(ISERROR(SEARCH("ENTREGADO",A64)))</formula>
    </cfRule>
    <cfRule type="containsText" dxfId="7243" priority="7391" operator="containsText" text="PENDIENTE">
      <formula>NOT(ISERROR(SEARCH("PENDIENTE",A64)))</formula>
    </cfRule>
  </conditionalFormatting>
  <conditionalFormatting sqref="A65">
    <cfRule type="containsText" dxfId="7242" priority="202" operator="containsText" text="ENTREGADO">
      <formula>NOT(ISERROR(SEARCH("ENTREGADO",A65)))</formula>
    </cfRule>
    <cfRule type="containsText" dxfId="7241" priority="201" operator="containsText" text="PRIORIDAD">
      <formula>NOT(ISERROR(SEARCH("PRIORIDAD",A65)))</formula>
    </cfRule>
    <cfRule type="containsText" dxfId="7240" priority="200" operator="containsText" text="PENDIENTE">
      <formula>NOT(ISERROR(SEARCH("PENDIENTE",A65)))</formula>
    </cfRule>
    <cfRule type="containsText" dxfId="7239" priority="199" operator="containsText" text="PENDIENTE">
      <formula>NOT(ISERROR(SEARCH("PENDIENTE",#REF!)))</formula>
    </cfRule>
    <cfRule type="containsText" dxfId="7238" priority="198" operator="containsText" text="ENTREGADO">
      <formula>NOT(ISERROR(SEARCH("ENTREGADO",A65)))</formula>
    </cfRule>
    <cfRule type="containsText" dxfId="7237" priority="197" operator="containsText" text="ENTREGADO">
      <formula>NOT(ISERROR(SEARCH("ENTREGADO",A65)))</formula>
    </cfRule>
    <cfRule type="containsText" dxfId="7236" priority="195" operator="containsText" text="ENTREGADO">
      <formula>NOT(ISERROR(SEARCH("ENTREGADO",#REF!)))</formula>
    </cfRule>
    <cfRule type="containsText" dxfId="7235" priority="196" operator="containsText" text="PENDIENTE">
      <formula>NOT(ISERROR(SEARCH("PENDIENTE",A65)))</formula>
    </cfRule>
  </conditionalFormatting>
  <conditionalFormatting sqref="A66">
    <cfRule type="containsText" dxfId="7234" priority="179" operator="containsText" text="ENTREGADO">
      <formula>NOT(ISERROR(SEARCH("ENTREGADO",A66)))</formula>
    </cfRule>
    <cfRule type="containsText" dxfId="7233" priority="178" operator="containsText" text="PRIORIDAD">
      <formula>NOT(ISERROR(SEARCH("PRIORIDAD",A66)))</formula>
    </cfRule>
    <cfRule type="containsText" dxfId="7232" priority="177" operator="containsText" text="PENDIENTE">
      <formula>NOT(ISERROR(SEARCH("PENDIENTE",A66)))</formula>
    </cfRule>
    <cfRule type="containsText" dxfId="7231" priority="172" operator="containsText" text="ENTREGADO">
      <formula>NOT(ISERROR(SEARCH("ENTREGADO",#REF!)))</formula>
    </cfRule>
    <cfRule type="containsText" dxfId="7230" priority="175" operator="containsText" text="ENTREGADO">
      <formula>NOT(ISERROR(SEARCH("ENTREGADO",A66)))</formula>
    </cfRule>
    <cfRule type="containsText" dxfId="7229" priority="174" operator="containsText" text="ENTREGADO">
      <formula>NOT(ISERROR(SEARCH("ENTREGADO",A66)))</formula>
    </cfRule>
    <cfRule type="containsText" dxfId="7228" priority="173" operator="containsText" text="PENDIENTE">
      <formula>NOT(ISERROR(SEARCH("PENDIENTE",A66)))</formula>
    </cfRule>
    <cfRule type="containsText" dxfId="7227" priority="176" operator="containsText" text="PENDIENTE">
      <formula>NOT(ISERROR(SEARCH("PENDIENTE",#REF!)))</formula>
    </cfRule>
  </conditionalFormatting>
  <conditionalFormatting sqref="A67">
    <cfRule type="containsText" dxfId="7226" priority="151" operator="containsText" text="ENTREGADO">
      <formula>NOT(ISERROR(SEARCH("ENTREGADO",A67)))</formula>
    </cfRule>
    <cfRule type="containsText" dxfId="7225" priority="150" operator="containsText" text="PENDIENTE">
      <formula>NOT(ISERROR(SEARCH("PENDIENTE",A67)))</formula>
    </cfRule>
    <cfRule type="containsText" dxfId="7224" priority="152" operator="containsText" text="ENTREGADO">
      <formula>NOT(ISERROR(SEARCH("ENTREGADO",A67)))</formula>
    </cfRule>
    <cfRule type="containsText" dxfId="7223" priority="149" operator="containsText" text="ENTREGADO">
      <formula>NOT(ISERROR(SEARCH("ENTREGADO",#REF!)))</formula>
    </cfRule>
    <cfRule type="containsText" dxfId="7222" priority="156" operator="containsText" text="ENTREGADO">
      <formula>NOT(ISERROR(SEARCH("ENTREGADO",A67)))</formula>
    </cfRule>
    <cfRule type="containsText" dxfId="7221" priority="155" operator="containsText" text="PRIORIDAD">
      <formula>NOT(ISERROR(SEARCH("PRIORIDAD",A67)))</formula>
    </cfRule>
    <cfRule type="containsText" dxfId="7220" priority="154" operator="containsText" text="PENDIENTE">
      <formula>NOT(ISERROR(SEARCH("PENDIENTE",A67)))</formula>
    </cfRule>
    <cfRule type="containsText" dxfId="7219" priority="153" operator="containsText" text="PENDIENTE">
      <formula>NOT(ISERROR(SEARCH("PENDIENTE",#REF!)))</formula>
    </cfRule>
  </conditionalFormatting>
  <conditionalFormatting sqref="A68">
    <cfRule type="containsText" dxfId="7218" priority="7394" operator="containsText" text="ENTREGADO">
      <formula>NOT(ISERROR(SEARCH("ENTREGADO",#REF!)))</formula>
    </cfRule>
    <cfRule type="containsText" dxfId="7217" priority="7395" operator="containsText" text="PENDIENTE">
      <formula>NOT(ISERROR(SEARCH("PENDIENTE",A68)))</formula>
    </cfRule>
    <cfRule type="containsText" dxfId="7216" priority="7396" operator="containsText" text="ENTREGADO">
      <formula>NOT(ISERROR(SEARCH("ENTREGADO",A68)))</formula>
    </cfRule>
    <cfRule type="containsText" dxfId="7215" priority="7397" operator="containsText" text="ENTREGADO">
      <formula>NOT(ISERROR(SEARCH("ENTREGADO",A68)))</formula>
    </cfRule>
    <cfRule type="containsText" dxfId="7214" priority="7400" operator="containsText" text="PRIORIDAD">
      <formula>NOT(ISERROR(SEARCH("PRIORIDAD",A68)))</formula>
    </cfRule>
    <cfRule type="containsText" dxfId="7213" priority="7399" operator="containsText" text="PENDIENTE">
      <formula>NOT(ISERROR(SEARCH("PENDIENTE",A68)))</formula>
    </cfRule>
    <cfRule type="containsText" dxfId="7212" priority="7398" operator="containsText" text="PENDIENTE">
      <formula>NOT(ISERROR(SEARCH("PENDIENTE",#REF!)))</formula>
    </cfRule>
    <cfRule type="containsText" dxfId="7211" priority="7401" operator="containsText" text="ENTREGADO">
      <formula>NOT(ISERROR(SEARCH("ENTREGADO",A68)))</formula>
    </cfRule>
  </conditionalFormatting>
  <conditionalFormatting sqref="A69 A71">
    <cfRule type="containsText" dxfId="7210" priority="7417" operator="containsText" text="ENTREGADO">
      <formula>NOT(ISERROR(SEARCH("ENTREGADO",A69)))</formula>
    </cfRule>
  </conditionalFormatting>
  <conditionalFormatting sqref="A69">
    <cfRule type="containsText" dxfId="7209" priority="7412" operator="containsText" text="ENTREGADO">
      <formula>NOT(ISERROR(SEARCH("ENTREGADO",A69)))</formula>
    </cfRule>
    <cfRule type="containsText" dxfId="7208" priority="7410" operator="containsText" text="ENTREGADO">
      <formula>NOT(ISERROR(SEARCH("ENTREGADO",#REF!)))</formula>
    </cfRule>
    <cfRule type="containsText" dxfId="7207" priority="7413" operator="containsText" text="ENTREGADO">
      <formula>NOT(ISERROR(SEARCH("ENTREGADO",A69)))</formula>
    </cfRule>
    <cfRule type="containsText" dxfId="7206" priority="7414" operator="containsText" text="PENDIENTE">
      <formula>NOT(ISERROR(SEARCH("PENDIENTE",#REF!)))</formula>
    </cfRule>
    <cfRule type="containsText" dxfId="7205" priority="7411" operator="containsText" text="PENDIENTE">
      <formula>NOT(ISERROR(SEARCH("PENDIENTE",A69)))</formula>
    </cfRule>
    <cfRule type="containsText" dxfId="7204" priority="7415" operator="containsText" text="PENDIENTE">
      <formula>NOT(ISERROR(SEARCH("PENDIENTE",A69)))</formula>
    </cfRule>
    <cfRule type="containsText" dxfId="7203" priority="7416" operator="containsText" text="PRIORIDAD">
      <formula>NOT(ISERROR(SEARCH("PRIORIDAD",A69)))</formula>
    </cfRule>
  </conditionalFormatting>
  <conditionalFormatting sqref="A70">
    <cfRule type="containsText" dxfId="7202" priority="5804" operator="containsText" text="PENDIENTE">
      <formula>NOT(ISERROR(SEARCH("PENDIENTE",#REF!)))</formula>
    </cfRule>
    <cfRule type="containsText" dxfId="7201" priority="5802" operator="containsText" text="ENTREGADO">
      <formula>NOT(ISERROR(SEARCH("ENTREGADO",A70)))</formula>
    </cfRule>
    <cfRule type="containsText" dxfId="7200" priority="5805" operator="containsText" text="PENDIENTE">
      <formula>NOT(ISERROR(SEARCH("PENDIENTE",A70)))</formula>
    </cfRule>
    <cfRule type="containsText" dxfId="7199" priority="5800" operator="containsText" text="ENTREGADO">
      <formula>NOT(ISERROR(SEARCH("ENTREGADO",#REF!)))</formula>
    </cfRule>
    <cfRule type="containsText" dxfId="7198" priority="5801" operator="containsText" text="PENDIENTE">
      <formula>NOT(ISERROR(SEARCH("PENDIENTE",A70)))</formula>
    </cfRule>
    <cfRule type="containsText" dxfId="7197" priority="5807" operator="containsText" text="ENTREGADO">
      <formula>NOT(ISERROR(SEARCH("ENTREGADO",A70)))</formula>
    </cfRule>
    <cfRule type="containsText" dxfId="7196" priority="5803" operator="containsText" text="ENTREGADO">
      <formula>NOT(ISERROR(SEARCH("ENTREGADO",A70)))</formula>
    </cfRule>
  </conditionalFormatting>
  <conditionalFormatting sqref="A70:A75">
    <cfRule type="containsText" dxfId="7195" priority="5806" operator="containsText" text="PRIORIDAD">
      <formula>NOT(ISERROR(SEARCH("PRIORIDAD",A70)))</formula>
    </cfRule>
  </conditionalFormatting>
  <conditionalFormatting sqref="A71 G71:H71 BC71 J71">
    <cfRule type="containsText" dxfId="7194" priority="9860" operator="containsText" text="ENTREGADO">
      <formula>NOT(ISERROR(SEARCH("ENTREGADO",A71)))</formula>
    </cfRule>
  </conditionalFormatting>
  <conditionalFormatting sqref="A71">
    <cfRule type="containsText" dxfId="7193" priority="9851" operator="containsText" text="ENTREGADO">
      <formula>NOT(ISERROR(SEARCH("ENTREGADO",A71)))</formula>
    </cfRule>
    <cfRule type="containsText" dxfId="7192" priority="9856" operator="containsText" text="ENTREGADO">
      <formula>NOT(ISERROR(SEARCH("ENTREGADO",A71)))</formula>
    </cfRule>
    <cfRule type="containsText" dxfId="7191" priority="9853" operator="containsText" text="ENTREGADO">
      <formula>NOT(ISERROR(SEARCH("ENTREGADO",#REF!)))</formula>
    </cfRule>
    <cfRule type="containsText" dxfId="7190" priority="9850" operator="containsText" text="PENDIENTE">
      <formula>NOT(ISERROR(SEARCH("PENDIENTE",A71)))</formula>
    </cfRule>
  </conditionalFormatting>
  <conditionalFormatting sqref="A72 G72:H72 AR72:BG72 J72">
    <cfRule type="containsText" dxfId="7189" priority="6754" operator="containsText" text="ENTREGADO">
      <formula>NOT(ISERROR(SEARCH("ENTREGADO",A72)))</formula>
    </cfRule>
  </conditionalFormatting>
  <conditionalFormatting sqref="A72">
    <cfRule type="containsText" dxfId="7188" priority="6747" operator="containsText" text="ENTREGADO">
      <formula>NOT(ISERROR(SEARCH("ENTREGADO",#REF!)))</formula>
    </cfRule>
    <cfRule type="containsText" dxfId="7187" priority="6750" operator="containsText" text="ENTREGADO">
      <formula>NOT(ISERROR(SEARCH("ENTREGADO",A72)))</formula>
    </cfRule>
    <cfRule type="containsText" dxfId="7186" priority="6746" operator="containsText" text="ENTREGADO">
      <formula>NOT(ISERROR(SEARCH("ENTREGADO",A72)))</formula>
    </cfRule>
    <cfRule type="containsText" dxfId="7185" priority="6745" operator="containsText" text="PENDIENTE">
      <formula>NOT(ISERROR(SEARCH("PENDIENTE",A72)))</formula>
    </cfRule>
  </conditionalFormatting>
  <conditionalFormatting sqref="A72:A73 G73:H73 AR73:BG73 J73">
    <cfRule type="containsText" dxfId="7184" priority="6627" operator="containsText" text="ENTREGADO">
      <formula>NOT(ISERROR(SEARCH("ENTREGADO",A72)))</formula>
    </cfRule>
  </conditionalFormatting>
  <conditionalFormatting sqref="A73">
    <cfRule type="containsText" dxfId="7183" priority="6619" operator="containsText" text="ENTREGADO">
      <formula>NOT(ISERROR(SEARCH("ENTREGADO",A73)))</formula>
    </cfRule>
    <cfRule type="containsText" dxfId="7182" priority="6618" operator="containsText" text="PENDIENTE">
      <formula>NOT(ISERROR(SEARCH("PENDIENTE",A73)))</formula>
    </cfRule>
    <cfRule type="containsText" dxfId="7181" priority="6620" operator="containsText" text="ENTREGADO">
      <formula>NOT(ISERROR(SEARCH("ENTREGADO",#REF!)))</formula>
    </cfRule>
    <cfRule type="containsText" dxfId="7180" priority="6623" operator="containsText" text="ENTREGADO">
      <formula>NOT(ISERROR(SEARCH("ENTREGADO",A73)))</formula>
    </cfRule>
  </conditionalFormatting>
  <conditionalFormatting sqref="A73:A74 G74:H74 AR74:BG74 J74">
    <cfRule type="containsText" dxfId="7179" priority="6499" operator="containsText" text="ENTREGADO">
      <formula>NOT(ISERROR(SEARCH("ENTREGADO",A73)))</formula>
    </cfRule>
  </conditionalFormatting>
  <conditionalFormatting sqref="A74">
    <cfRule type="containsText" dxfId="7178" priority="6492" operator="containsText" text="ENTREGADO">
      <formula>NOT(ISERROR(SEARCH("ENTREGADO",#REF!)))</formula>
    </cfRule>
    <cfRule type="containsText" dxfId="7177" priority="6495" operator="containsText" text="ENTREGADO">
      <formula>NOT(ISERROR(SEARCH("ENTREGADO",A74)))</formula>
    </cfRule>
    <cfRule type="containsText" dxfId="7176" priority="6491" operator="containsText" text="ENTREGADO">
      <formula>NOT(ISERROR(SEARCH("ENTREGADO",A74)))</formula>
    </cfRule>
    <cfRule type="containsText" dxfId="7175" priority="6490" operator="containsText" text="PENDIENTE">
      <formula>NOT(ISERROR(SEARCH("PENDIENTE",A74)))</formula>
    </cfRule>
    <cfRule type="containsText" dxfId="7174" priority="6487" operator="containsText" text="ENTREGADO">
      <formula>NOT(ISERROR(SEARCH("ENTREGADO",A74)))</formula>
    </cfRule>
  </conditionalFormatting>
  <conditionalFormatting sqref="A75">
    <cfRule type="containsText" dxfId="7173" priority="4834" operator="containsText" text="PENDIENTE">
      <formula>NOT(ISERROR(SEARCH("PENDIENTE",A75)))</formula>
    </cfRule>
    <cfRule type="containsText" dxfId="7172" priority="4836" operator="containsText" text="ENTREGADO">
      <formula>NOT(ISERROR(SEARCH("ENTREGADO",#REF!)))</formula>
    </cfRule>
    <cfRule type="containsText" dxfId="7171" priority="4831" operator="containsText" text="ENTREGADO">
      <formula>NOT(ISERROR(SEARCH("ENTREGADO",A75)))</formula>
    </cfRule>
    <cfRule type="containsText" dxfId="7170" priority="4835" operator="containsText" text="ENTREGADO">
      <formula>NOT(ISERROR(SEARCH("ENTREGADO",A75)))</formula>
    </cfRule>
    <cfRule type="containsText" dxfId="7169" priority="4837" operator="containsText" text="ENTREGADO">
      <formula>NOT(ISERROR(SEARCH("ENTREGADO",A75)))</formula>
    </cfRule>
  </conditionalFormatting>
  <conditionalFormatting sqref="A76 A80:A81 A83:A84">
    <cfRule type="containsText" dxfId="7168" priority="2944" operator="containsText" text="ENTREGADO">
      <formula>NOT(ISERROR(SEARCH("ENTREGADO",A76)))</formula>
    </cfRule>
    <cfRule type="containsText" dxfId="7167" priority="2946" operator="containsText" text="ENTREGADO">
      <formula>NOT(ISERROR(SEARCH("ENTREGADO",A76)))</formula>
    </cfRule>
    <cfRule type="containsText" dxfId="7166" priority="2943" operator="containsText" text="PENDIENTE">
      <formula>NOT(ISERROR(SEARCH("PENDIENTE",A76)))</formula>
    </cfRule>
    <cfRule type="containsText" dxfId="7165" priority="2945" operator="containsText" text="ENTREGADO">
      <formula>NOT(ISERROR(SEARCH("ENTREGADO",#REF!)))</formula>
    </cfRule>
    <cfRule type="containsText" dxfId="7164" priority="2940" operator="containsText" text="ENTREGADO">
      <formula>NOT(ISERROR(SEARCH("ENTREGADO",A76)))</formula>
    </cfRule>
  </conditionalFormatting>
  <conditionalFormatting sqref="A77">
    <cfRule type="containsText" dxfId="7163" priority="2072" operator="containsText" text="PENDIENTE">
      <formula>NOT(ISERROR(SEARCH("PENDIENTE",A77)))</formula>
    </cfRule>
    <cfRule type="containsText" dxfId="7162" priority="2071" operator="containsText" text="ENTREGADO">
      <formula>NOT(ISERROR(SEARCH("ENTREGADO",A77)))</formula>
    </cfRule>
    <cfRule type="containsText" dxfId="7161" priority="2070" operator="containsText" text="PENDIENTE">
      <formula>NOT(ISERROR(SEARCH("PENDIENTE",A77)))</formula>
    </cfRule>
    <cfRule type="containsText" dxfId="7160" priority="2069" operator="containsText" text="PRIORIDAD">
      <formula>NOT(ISERROR(SEARCH("PRIORIDAD",A77)))</formula>
    </cfRule>
    <cfRule type="containsText" dxfId="7159" priority="2065" operator="containsText" text="ENTREGADO">
      <formula>NOT(ISERROR(SEARCH("ENTREGADO",A77)))</formula>
    </cfRule>
    <cfRule type="containsText" dxfId="7158" priority="2061" operator="containsText" text="ENTREGADO">
      <formula>NOT(ISERROR(SEARCH("ENTREGADO",#REF!)))</formula>
    </cfRule>
    <cfRule type="containsText" dxfId="7157" priority="2064" operator="containsText" text="PENDIENTE">
      <formula>NOT(ISERROR(SEARCH("PENDIENTE",A77)))</formula>
    </cfRule>
    <cfRule type="containsText" dxfId="7156" priority="2063" operator="containsText" text="PENDIENTE">
      <formula>NOT(ISERROR(SEARCH("PENDIENTE",#REF!)))</formula>
    </cfRule>
    <cfRule type="containsText" dxfId="7155" priority="2066" operator="containsText" text="PENDIENTE">
      <formula>NOT(ISERROR(SEARCH("PENDIENTE",#REF!)))</formula>
    </cfRule>
    <cfRule type="containsText" dxfId="7154" priority="2062" operator="containsText" text="ENTREGADO">
      <formula>NOT(ISERROR(SEARCH("ENTREGADO",A77)))</formula>
    </cfRule>
    <cfRule type="containsText" dxfId="7153" priority="2068" operator="containsText" text="ENTREGADO">
      <formula>NOT(ISERROR(SEARCH("ENTREGADO",A77)))</formula>
    </cfRule>
    <cfRule type="containsText" dxfId="7152" priority="2067" operator="containsText" text="PENDIENTE">
      <formula>NOT(ISERROR(SEARCH("PENDIENTE",A77)))</formula>
    </cfRule>
    <cfRule type="containsText" dxfId="7151" priority="2073" operator="containsText" text="ENTREGADO">
      <formula>NOT(ISERROR(SEARCH("ENTREGADO",A77)))</formula>
    </cfRule>
  </conditionalFormatting>
  <conditionalFormatting sqref="A78">
    <cfRule type="containsText" dxfId="7150" priority="1646" operator="containsText" text="ENTREGADO">
      <formula>NOT(ISERROR(SEARCH("ENTREGADO",#REF!)))</formula>
    </cfRule>
    <cfRule type="containsText" dxfId="7149" priority="1644" operator="containsText" text="PENDIENTE">
      <formula>NOT(ISERROR(SEARCH("PENDIENTE",A78)))</formula>
    </cfRule>
    <cfRule type="containsText" dxfId="7148" priority="1647" operator="containsText" text="ENTREGADO">
      <formula>NOT(ISERROR(SEARCH("ENTREGADO",A78)))</formula>
    </cfRule>
    <cfRule type="containsText" dxfId="7147" priority="1641" operator="containsText" text="ENTREGADO">
      <formula>NOT(ISERROR(SEARCH("ENTREGADO",A78)))</formula>
    </cfRule>
    <cfRule type="containsText" dxfId="7146" priority="1645" operator="containsText" text="ENTREGADO">
      <formula>NOT(ISERROR(SEARCH("ENTREGADO",A78)))</formula>
    </cfRule>
  </conditionalFormatting>
  <conditionalFormatting sqref="A78:A79">
    <cfRule type="containsText" dxfId="7145" priority="1535" operator="containsText" text="PRIORIDAD">
      <formula>NOT(ISERROR(SEARCH("PRIORIDAD",A78)))</formula>
    </cfRule>
  </conditionalFormatting>
  <conditionalFormatting sqref="A79">
    <cfRule type="containsText" dxfId="7144" priority="1529" operator="containsText" text="ENTREGADO">
      <formula>NOT(ISERROR(SEARCH("ENTREGADO",#REF!)))</formula>
    </cfRule>
    <cfRule type="containsText" dxfId="7143" priority="1532" operator="containsText" text="ENTREGADO">
      <formula>NOT(ISERROR(SEARCH("ENTREGADO",A79)))</formula>
    </cfRule>
    <cfRule type="containsText" dxfId="7142" priority="1534" operator="containsText" text="PENDIENTE">
      <formula>NOT(ISERROR(SEARCH("PENDIENTE",A79)))</formula>
    </cfRule>
    <cfRule type="containsText" dxfId="7141" priority="1531" operator="containsText" text="ENTREGADO">
      <formula>NOT(ISERROR(SEARCH("ENTREGADO",A79)))</formula>
    </cfRule>
    <cfRule type="containsText" dxfId="7140" priority="1530" operator="containsText" text="PENDIENTE">
      <formula>NOT(ISERROR(SEARCH("PENDIENTE",A79)))</formula>
    </cfRule>
    <cfRule type="containsText" dxfId="7139" priority="1533" operator="containsText" text="PENDIENTE">
      <formula>NOT(ISERROR(SEARCH("PENDIENTE",#REF!)))</formula>
    </cfRule>
    <cfRule type="containsText" dxfId="7138" priority="1536" operator="containsText" text="ENTREGADO">
      <formula>NOT(ISERROR(SEARCH("ENTREGADO",A79)))</formula>
    </cfRule>
  </conditionalFormatting>
  <conditionalFormatting sqref="A82 AR82:XFD82 V82:X82 T82 AN82:AO82 AI82:AL82 AD82 AG82">
    <cfRule type="containsText" dxfId="7137" priority="1386" operator="containsText" text="ENTREGADO">
      <formula>NOT(ISERROR(SEARCH("ENTREGADO",A82)))</formula>
    </cfRule>
  </conditionalFormatting>
  <conditionalFormatting sqref="A82 BH82:XFD82 BC82 AR82:BA82 AN82:AO82 AI82:AL82 AD82 V82:X82 T82 AG82">
    <cfRule type="containsText" dxfId="7136" priority="1385" operator="containsText" text="PENDIENTE">
      <formula>NOT(ISERROR(SEARCH("PENDIENTE",A82)))</formula>
    </cfRule>
  </conditionalFormatting>
  <conditionalFormatting sqref="A82">
    <cfRule type="containsText" dxfId="7135" priority="1379" operator="containsText" text="PENDIENTE">
      <formula>NOT(ISERROR(SEARCH("PENDIENTE",A82)))</formula>
    </cfRule>
    <cfRule type="containsText" dxfId="7134" priority="1381" operator="containsText" text="ENTREGADO">
      <formula>NOT(ISERROR(SEARCH("ENTREGADO",#REF!)))</formula>
    </cfRule>
    <cfRule type="containsText" dxfId="7133" priority="1380" operator="containsText" text="ENTREGADO">
      <formula>NOT(ISERROR(SEARCH("ENTREGADO",A82)))</formula>
    </cfRule>
    <cfRule type="containsText" dxfId="7132" priority="1376" operator="containsText" text="ENTREGADO">
      <formula>NOT(ISERROR(SEARCH("ENTREGADO",A82)))</formula>
    </cfRule>
    <cfRule type="containsText" dxfId="7131" priority="1382" operator="containsText" text="ENTREGADO">
      <formula>NOT(ISERROR(SEARCH("ENTREGADO",A82)))</formula>
    </cfRule>
  </conditionalFormatting>
  <conditionalFormatting sqref="A85">
    <cfRule type="containsText" dxfId="7130" priority="2686" operator="containsText" text="ENTREGADO">
      <formula>NOT(ISERROR(SEARCH("ENTREGADO",A85)))</formula>
    </cfRule>
    <cfRule type="containsText" dxfId="7129" priority="2685" operator="containsText" text="PENDIENTE">
      <formula>NOT(ISERROR(SEARCH("PENDIENTE",A85)))</formula>
    </cfRule>
    <cfRule type="containsText" dxfId="7128" priority="2682" operator="containsText" text="ENTREGADO">
      <formula>NOT(ISERROR(SEARCH("ENTREGADO",A85)))</formula>
    </cfRule>
    <cfRule type="containsText" dxfId="7127" priority="2687" operator="containsText" text="ENTREGADO">
      <formula>NOT(ISERROR(SEARCH("ENTREGADO",#REF!)))</formula>
    </cfRule>
    <cfRule type="containsText" dxfId="7126" priority="2688" operator="containsText" text="ENTREGADO">
      <formula>NOT(ISERROR(SEARCH("ENTREGADO",A85)))</formula>
    </cfRule>
  </conditionalFormatting>
  <conditionalFormatting sqref="A86">
    <cfRule type="containsText" dxfId="7125" priority="2527" operator="containsText" text="ENTREGADO">
      <formula>NOT(ISERROR(SEARCH("ENTREGADO",A86)))</formula>
    </cfRule>
    <cfRule type="containsText" dxfId="7124" priority="2530" operator="containsText" text="PENDIENTE">
      <formula>NOT(ISERROR(SEARCH("PENDIENTE",A86)))</formula>
    </cfRule>
    <cfRule type="containsText" dxfId="7123" priority="2533" operator="containsText" text="ENTREGADO">
      <formula>NOT(ISERROR(SEARCH("ENTREGADO",A86)))</formula>
    </cfRule>
    <cfRule type="containsText" dxfId="7122" priority="2532" operator="containsText" text="ENTREGADO">
      <formula>NOT(ISERROR(SEARCH("ENTREGADO",#REF!)))</formula>
    </cfRule>
    <cfRule type="containsText" dxfId="7121" priority="2531" operator="containsText" text="ENTREGADO">
      <formula>NOT(ISERROR(SEARCH("ENTREGADO",A86)))</formula>
    </cfRule>
  </conditionalFormatting>
  <conditionalFormatting sqref="A87">
    <cfRule type="containsText" dxfId="7120" priority="2398" operator="containsText" text="ENTREGADO">
      <formula>NOT(ISERROR(SEARCH("ENTREGADO",A87)))</formula>
    </cfRule>
    <cfRule type="containsText" dxfId="7119" priority="2401" operator="containsText" text="PENDIENTE">
      <formula>NOT(ISERROR(SEARCH("PENDIENTE",A87)))</formula>
    </cfRule>
    <cfRule type="containsText" dxfId="7118" priority="2402" operator="containsText" text="ENTREGADO">
      <formula>NOT(ISERROR(SEARCH("ENTREGADO",A87)))</formula>
    </cfRule>
    <cfRule type="containsText" dxfId="7117" priority="2403" operator="containsText" text="ENTREGADO">
      <formula>NOT(ISERROR(SEARCH("ENTREGADO",#REF!)))</formula>
    </cfRule>
    <cfRule type="containsText" dxfId="7116" priority="2404" operator="containsText" text="ENTREGADO">
      <formula>NOT(ISERROR(SEARCH("ENTREGADO",A87)))</formula>
    </cfRule>
  </conditionalFormatting>
  <conditionalFormatting sqref="A88">
    <cfRule type="containsText" dxfId="7115" priority="2272" operator="containsText" text="PENDIENTE">
      <formula>NOT(ISERROR(SEARCH("PENDIENTE",A88)))</formula>
    </cfRule>
    <cfRule type="containsText" dxfId="7114" priority="2273" operator="containsText" text="ENTREGADO">
      <formula>NOT(ISERROR(SEARCH("ENTREGADO",A88)))</formula>
    </cfRule>
    <cfRule type="containsText" dxfId="7113" priority="2274" operator="containsText" text="ENTREGADO">
      <formula>NOT(ISERROR(SEARCH("ENTREGADO",#REF!)))</formula>
    </cfRule>
    <cfRule type="containsText" dxfId="7112" priority="2275" operator="containsText" text="ENTREGADO">
      <formula>NOT(ISERROR(SEARCH("ENTREGADO",A88)))</formula>
    </cfRule>
    <cfRule type="containsText" dxfId="7111" priority="2269" operator="containsText" text="ENTREGADO">
      <formula>NOT(ISERROR(SEARCH("ENTREGADO",A88)))</formula>
    </cfRule>
  </conditionalFormatting>
  <conditionalFormatting sqref="A89">
    <cfRule type="containsText" dxfId="7110" priority="1888" operator="containsText" text="ENTREGADO">
      <formula>NOT(ISERROR(SEARCH("ENTREGADO",A89)))</formula>
    </cfRule>
    <cfRule type="containsText" dxfId="7109" priority="1892" operator="containsText" text="ENTREGADO">
      <formula>NOT(ISERROR(SEARCH("ENTREGADO",A89)))</formula>
    </cfRule>
    <cfRule type="containsText" dxfId="7108" priority="1893" operator="containsText" text="ENTREGADO">
      <formula>NOT(ISERROR(SEARCH("ENTREGADO",#REF!)))</formula>
    </cfRule>
    <cfRule type="containsText" dxfId="7107" priority="1894" operator="containsText" text="ENTREGADO">
      <formula>NOT(ISERROR(SEARCH("ENTREGADO",A89)))</formula>
    </cfRule>
    <cfRule type="containsText" dxfId="7106" priority="1891" operator="containsText" text="PENDIENTE">
      <formula>NOT(ISERROR(SEARCH("PENDIENTE",A89)))</formula>
    </cfRule>
  </conditionalFormatting>
  <conditionalFormatting sqref="A90">
    <cfRule type="containsText" dxfId="7105" priority="1213" operator="containsText" text="ENTREGADO">
      <formula>NOT(ISERROR(SEARCH("ENTREGADO",A90)))</formula>
    </cfRule>
    <cfRule type="containsText" dxfId="7104" priority="1216" operator="containsText" text="PENDIENTE">
      <formula>NOT(ISERROR(SEARCH("PENDIENTE",A90)))</formula>
    </cfRule>
    <cfRule type="containsText" dxfId="7103" priority="1217" operator="containsText" text="ENTREGADO">
      <formula>NOT(ISERROR(SEARCH("ENTREGADO",A90)))</formula>
    </cfRule>
    <cfRule type="containsText" dxfId="7102" priority="1219" operator="containsText" text="ENTREGADO">
      <formula>NOT(ISERROR(SEARCH("ENTREGADO",A90)))</formula>
    </cfRule>
    <cfRule type="containsText" dxfId="7101" priority="1218" operator="containsText" text="ENTREGADO">
      <formula>NOT(ISERROR(SEARCH("ENTREGADO",#REF!)))</formula>
    </cfRule>
  </conditionalFormatting>
  <conditionalFormatting sqref="A91">
    <cfRule type="containsText" dxfId="7100" priority="1036" operator="containsText" text="PENDIENTE">
      <formula>NOT(ISERROR(SEARCH("PENDIENTE",A91)))</formula>
    </cfRule>
    <cfRule type="containsText" dxfId="7099" priority="1037" operator="containsText" text="ENTREGADO">
      <formula>NOT(ISERROR(SEARCH("ENTREGADO",A91)))</formula>
    </cfRule>
    <cfRule type="containsText" dxfId="7098" priority="1038" operator="containsText" text="ENTREGADO">
      <formula>NOT(ISERROR(SEARCH("ENTREGADO",#REF!)))</formula>
    </cfRule>
    <cfRule type="containsText" dxfId="7097" priority="1033" operator="containsText" text="ENTREGADO">
      <formula>NOT(ISERROR(SEARCH("ENTREGADO",A91)))</formula>
    </cfRule>
    <cfRule type="containsText" dxfId="7096" priority="1039" operator="containsText" text="ENTREGADO">
      <formula>NOT(ISERROR(SEARCH("ENTREGADO",A91)))</formula>
    </cfRule>
  </conditionalFormatting>
  <conditionalFormatting sqref="A92">
    <cfRule type="containsText" dxfId="7095" priority="898" operator="containsText" text="ENTREGADO">
      <formula>NOT(ISERROR(SEARCH("ENTREGADO",A92)))</formula>
    </cfRule>
    <cfRule type="containsText" dxfId="7094" priority="892" operator="containsText" text="ENTREGADO">
      <formula>NOT(ISERROR(SEARCH("ENTREGADO",A92)))</formula>
    </cfRule>
    <cfRule type="containsText" dxfId="7093" priority="896" operator="containsText" text="ENTREGADO">
      <formula>NOT(ISERROR(SEARCH("ENTREGADO",A92)))</formula>
    </cfRule>
    <cfRule type="containsText" dxfId="7092" priority="897" operator="containsText" text="ENTREGADO">
      <formula>NOT(ISERROR(SEARCH("ENTREGADO",#REF!)))</formula>
    </cfRule>
    <cfRule type="containsText" dxfId="7091" priority="895" operator="containsText" text="PENDIENTE">
      <formula>NOT(ISERROR(SEARCH("PENDIENTE",A92)))</formula>
    </cfRule>
  </conditionalFormatting>
  <conditionalFormatting sqref="A2:B2 O2:Q2 S2:XFD2 C2:D3 G2:N4 F2:F7 V3:W3 Y3:AL3 AN3:BC3 B3:B22 AK4:AL4 AN4:BA4 AD5:AL5 C5:D6 AN5:BC6 K5:N7 AD6:AG17 AI6:AL17 AR7:AW7 AN7:AO22 AR8:BC17 C8:D22 F9:F16 K10:K17 M10:N17 AD18:AL18 F18:F22 K18:N22 AR18:AW22 BD18:BG22 AD19:AG22 AI19:AL22 AI27:AL27 AN27:AO27 AR27:BA27 AD27:AG30 AI28:AO28 AR28:AW28 O29:O30 AI29:AL30 AN29:AO30 AR29:BA30 C32:D32 O32 AD32:AG32 AI32:AL32 AN32:AO32 AR32:BA32 C34:D34 AD34:AG34 AI34:AL34 AN34:AO34 AR34:BA34 E34:E38 AD40:AG40 AI40:AL40 AN40:AO40 AR40:BA40 E42:E45 BD42:BG45 A57 O57 U57 BB57 A62 O62:P62 O34">
    <cfRule type="containsText" dxfId="7090" priority="27212" operator="containsText" text="PRIORIDAD">
      <formula>NOT(ISERROR(SEARCH("PRIORIDAD",A2)))</formula>
    </cfRule>
  </conditionalFormatting>
  <conditionalFormatting sqref="A2:B2 O2:Q2 S2:XFD2 C2:D3 G2:N4 F2:F7 V3:W3 Y3:AL3 AN3:BC3 B3:B22 AK4:AL4 AN4:BA4 AD5:AL5 C5:D6 AN5:BC6 K5:N7 AD6:AG17 AI6:AL17 AR7:AW7 AN7:AO22 AR8:BC17 C8:D22 F9:F16 K10:K17 M10:N17 AD18:AL18 F18:F22 K18:N22 AR18:AW22 BD18:BG22 AD19:AG22 AI19:AL22 AN27:AO27 AR27:BA27 O29:O30 AD29:AG30 AI29:AL30 AN29:AO30 AR29:BA30 C32:D32 O32 AD32:AG32 AI32:AL32 AN32:AO32 AR32:BA32 C34:D34 O34 AD34:AG34 AI34:AL34 AN34:AO34 AR34:BA34 E34:E38 AD40:AG40 AI40:AL40 AN40:AO40 AR40:BA40 E42:H45 BD42:BG45 A57 O57 T57:X57 AR57:BC57 A62 J62:P62 F31:H31 J31:N31 G35:H36 J35:N38 F37:H37 G38:H38 AD38:AG38 AI38:AL38 AN38:AO38 AR38:BA38 AD42:AL44 AN42:AO44 AR42:BA44 J42:N45 F50:H50 J50:N50 AD57:AG57 AI57:AL57 AN57:AO57 BH57:XFD57 F57:H58 J57:N58 G62:H62 K71:N71 AD71:AG71 AI71:AL71 AN71:AO71 AR71:BA71">
    <cfRule type="containsText" dxfId="7089" priority="27213" operator="containsText" text="ENTREGADO">
      <formula>NOT(ISERROR(SEARCH("ENTREGADO",A2)))</formula>
    </cfRule>
  </conditionalFormatting>
  <conditionalFormatting sqref="A42:B45">
    <cfRule type="containsText" dxfId="7088" priority="4731" operator="containsText" text="PRIORIDAD">
      <formula>NOT(ISERROR(SEARCH("PRIORIDAD",A42)))</formula>
    </cfRule>
  </conditionalFormatting>
  <conditionalFormatting sqref="A60:D60">
    <cfRule type="containsText" dxfId="7087" priority="4592" operator="containsText" text="PRIORIDAD">
      <formula>NOT(ISERROR(SEARCH("PRIORIDAD",A60)))</formula>
    </cfRule>
  </conditionalFormatting>
  <conditionalFormatting sqref="A2:P2 AI27:AL27 AN27:AO27 AR27:BA27 AD27:AG30 AI28:AO28 AR28:AW28 AI29:AL30 AN29:AO30 AR29:BA30 AD32:AG32 AI32:AL32 AN32:AO32 AR32:BA32 AD34:AG34 AI34:AL34 AN34:AO34 AR34:BA34 AD40:AG40 AI40:AL40 AN40:AO40 AR40:BA40">
    <cfRule type="containsText" dxfId="7086" priority="27218" operator="containsText" text="ENTREGADO">
      <formula>NOT(ISERROR(SEARCH("ENTREGADO",A2)))</formula>
    </cfRule>
    <cfRule type="containsText" dxfId="7085" priority="27217" operator="containsText" text="PENDIENTE">
      <formula>NOT(ISERROR(SEARCH("PENDIENTE",A2)))</formula>
    </cfRule>
  </conditionalFormatting>
  <conditionalFormatting sqref="A1:XFD1048576">
    <cfRule type="containsText" dxfId="7084" priority="331" operator="containsText" text="TOLUCA">
      <formula>NOT(ISERROR(SEARCH("TOLUCA",A1)))</formula>
    </cfRule>
    <cfRule type="containsText" dxfId="7083" priority="336" operator="containsText" text="VERACRUZ">
      <formula>NOT(ISERROR(SEARCH("VERACRUZ",A1)))</formula>
    </cfRule>
    <cfRule type="containsText" dxfId="7082" priority="335" operator="containsText" text="AICIM">
      <formula>NOT(ISERROR(SEARCH("AICIM",A1)))</formula>
    </cfRule>
    <cfRule type="containsText" dxfId="7081" priority="330" operator="containsText" text="ACCEL">
      <formula>NOT(ISERROR(SEARCH("ACCEL",A1)))</formula>
    </cfRule>
    <cfRule type="containsText" dxfId="7080" priority="333" operator="containsText" text="TOLUCA">
      <formula>NOT(ISERROR(SEARCH("TOLUCA",A1)))</formula>
    </cfRule>
    <cfRule type="containsText" dxfId="7079" priority="337" operator="containsText" text="LAREDO">
      <formula>NOT(ISERROR(SEARCH("LAREDO",A1)))</formula>
    </cfRule>
    <cfRule type="containsText" dxfId="7078" priority="332" operator="containsText" text="TOLUCA">
      <formula>NOT(ISERROR(SEARCH("TOLUCA",A1)))</formula>
    </cfRule>
    <cfRule type="containsText" dxfId="7077" priority="338" operator="containsText" text="MANZANILLO">
      <formula>NOT(ISERROR(SEARCH("MANZANILLO",A1)))</formula>
    </cfRule>
    <cfRule type="containsText" dxfId="7076" priority="334" operator="containsText" text="AICM">
      <formula>NOT(ISERROR(SEARCH("AICM",A1)))</formula>
    </cfRule>
  </conditionalFormatting>
  <conditionalFormatting sqref="B34:B38 B40 B56:B58 B42:B45 B50:B54 B62:B75">
    <cfRule type="containsText" dxfId="7075" priority="4732" operator="containsText" text="PENDIENTE">
      <formula>NOT(ISERROR(SEARCH("PENDIENTE",B34)))</formula>
    </cfRule>
  </conditionalFormatting>
  <conditionalFormatting sqref="B34:B41">
    <cfRule type="containsText" dxfId="7074" priority="3614" operator="containsText" text="PRIORIDAD">
      <formula>NOT(ISERROR(SEARCH("PRIORIDAD",B34)))</formula>
    </cfRule>
  </conditionalFormatting>
  <conditionalFormatting sqref="B36:B38 B71:B74 B40 B56:B58 B42:B45 B50:B54 B62:B69">
    <cfRule type="containsText" dxfId="7073" priority="5975" operator="containsText" text="ENTREGADO">
      <formula>NOT(ISERROR(SEARCH("ENTREGADO",B36)))</formula>
    </cfRule>
    <cfRule type="containsText" dxfId="7072" priority="5976" operator="containsText" text="ENTREGADO">
      <formula>NOT(ISERROR(SEARCH("ENTREGADO",B36)))</formula>
    </cfRule>
  </conditionalFormatting>
  <conditionalFormatting sqref="B39">
    <cfRule type="containsText" dxfId="7071" priority="3928" operator="containsText" text="PENDIENTE">
      <formula>NOT(ISERROR(SEARCH("PENDIENTE",B39)))</formula>
    </cfRule>
    <cfRule type="containsText" dxfId="7070" priority="3930" operator="containsText" text="ENTREGADO">
      <formula>NOT(ISERROR(SEARCH("ENTREGADO",B39)))</formula>
    </cfRule>
    <cfRule type="containsText" dxfId="7069" priority="3929" operator="containsText" text="ENTREGADO">
      <formula>NOT(ISERROR(SEARCH("ENTREGADO",B39)))</formula>
    </cfRule>
  </conditionalFormatting>
  <conditionalFormatting sqref="B41">
    <cfRule type="containsText" dxfId="7068" priority="3615" operator="containsText" text="PENDIENTE">
      <formula>NOT(ISERROR(SEARCH("PENDIENTE",B41)))</formula>
    </cfRule>
    <cfRule type="containsText" dxfId="7067" priority="3617" operator="containsText" text="ENTREGADO">
      <formula>NOT(ISERROR(SEARCH("ENTREGADO",B41)))</formula>
    </cfRule>
    <cfRule type="containsText" dxfId="7066" priority="3616" operator="containsText" text="ENTREGADO">
      <formula>NOT(ISERROR(SEARCH("ENTREGADO",B41)))</formula>
    </cfRule>
  </conditionalFormatting>
  <conditionalFormatting sqref="B46:B49">
    <cfRule type="containsText" dxfId="7065" priority="4312" operator="containsText" text="ENTREGADO">
      <formula>NOT(ISERROR(SEARCH("ENTREGADO",B46)))</formula>
    </cfRule>
    <cfRule type="containsText" dxfId="7064" priority="4299" operator="containsText" text="PENDIENTE">
      <formula>NOT(ISERROR(SEARCH("PENDIENTE",B46)))</formula>
    </cfRule>
    <cfRule type="containsText" dxfId="7063" priority="4313" operator="containsText" text="ENTREGADO">
      <formula>NOT(ISERROR(SEARCH("ENTREGADO",B46)))</formula>
    </cfRule>
  </conditionalFormatting>
  <conditionalFormatting sqref="B46:B54">
    <cfRule type="containsText" dxfId="7062" priority="4298" operator="containsText" text="PRIORIDAD">
      <formula>NOT(ISERROR(SEARCH("PRIORIDAD",B46)))</formula>
    </cfRule>
  </conditionalFormatting>
  <conditionalFormatting sqref="B55">
    <cfRule type="containsText" dxfId="7061" priority="523" operator="containsText" text="PRIORIDAD">
      <formula>NOT(ISERROR(SEARCH("PRIORIDAD",B55)))</formula>
    </cfRule>
    <cfRule type="containsText" dxfId="7060" priority="524" operator="containsText" text="PENDIENTE">
      <formula>NOT(ISERROR(SEARCH("PENDIENTE",B55)))</formula>
    </cfRule>
    <cfRule type="containsText" dxfId="7059" priority="530" operator="containsText" text="ENTREGADO">
      <formula>NOT(ISERROR(SEARCH("ENTREGADO",B55)))</formula>
    </cfRule>
    <cfRule type="containsText" dxfId="7058" priority="529" operator="containsText" text="ENTREGADO">
      <formula>NOT(ISERROR(SEARCH("ENTREGADO",B55)))</formula>
    </cfRule>
  </conditionalFormatting>
  <conditionalFormatting sqref="B56:B59">
    <cfRule type="containsText" dxfId="7057" priority="3425" operator="containsText" text="PRIORIDAD">
      <formula>NOT(ISERROR(SEARCH("PRIORIDAD",B56)))</formula>
    </cfRule>
  </conditionalFormatting>
  <conditionalFormatting sqref="B59">
    <cfRule type="containsText" dxfId="7056" priority="3437" operator="containsText" text="ENTREGADO">
      <formula>NOT(ISERROR(SEARCH("ENTREGADO",B59)))</formula>
    </cfRule>
    <cfRule type="containsText" dxfId="7055" priority="3438" operator="containsText" text="ENTREGADO">
      <formula>NOT(ISERROR(SEARCH("ENTREGADO",B59)))</formula>
    </cfRule>
    <cfRule type="containsText" dxfId="7054" priority="3426" operator="containsText" text="PENDIENTE">
      <formula>NOT(ISERROR(SEARCH("PENDIENTE",B59)))</formula>
    </cfRule>
  </conditionalFormatting>
  <conditionalFormatting sqref="B60">
    <cfRule type="containsText" dxfId="7053" priority="4593" operator="containsText" text="PENDIENTE">
      <formula>NOT(ISERROR(SEARCH("PENDIENTE",B60)))</formula>
    </cfRule>
    <cfRule type="containsText" dxfId="7052" priority="4604" operator="containsText" text="ENTREGADO">
      <formula>NOT(ISERROR(SEARCH("ENTREGADO",B60)))</formula>
    </cfRule>
    <cfRule type="containsText" dxfId="7051" priority="4605" operator="containsText" text="ENTREGADO">
      <formula>NOT(ISERROR(SEARCH("ENTREGADO",B60)))</formula>
    </cfRule>
  </conditionalFormatting>
  <conditionalFormatting sqref="B61">
    <cfRule type="containsText" dxfId="7050" priority="4465" operator="containsText" text="ENTREGADO">
      <formula>NOT(ISERROR(SEARCH("ENTREGADO",B61)))</formula>
    </cfRule>
    <cfRule type="containsText" dxfId="7049" priority="4466" operator="containsText" text="ENTREGADO">
      <formula>NOT(ISERROR(SEARCH("ENTREGADO",B61)))</formula>
    </cfRule>
    <cfRule type="containsText" dxfId="7048" priority="4454" operator="containsText" text="PENDIENTE">
      <formula>NOT(ISERROR(SEARCH("PENDIENTE",B61)))</formula>
    </cfRule>
  </conditionalFormatting>
  <conditionalFormatting sqref="B61:B92">
    <cfRule type="containsText" dxfId="7047" priority="829" operator="containsText" text="PRIORIDAD">
      <formula>NOT(ISERROR(SEARCH("PRIORIDAD",B61)))</formula>
    </cfRule>
  </conditionalFormatting>
  <conditionalFormatting sqref="B70">
    <cfRule type="containsText" dxfId="7046" priority="5728" operator="containsText" text="ENTREGADO">
      <formula>NOT(ISERROR(SEARCH("ENTREGADO",B70)))</formula>
    </cfRule>
    <cfRule type="containsText" dxfId="7045" priority="5727" operator="containsText" text="ENTREGADO">
      <formula>NOT(ISERROR(SEARCH("ENTREGADO",B70)))</formula>
    </cfRule>
  </conditionalFormatting>
  <conditionalFormatting sqref="B75">
    <cfRule type="containsText" dxfId="7044" priority="4742" operator="containsText" text="ENTREGADO">
      <formula>NOT(ISERROR(SEARCH("ENTREGADO",B75)))</formula>
    </cfRule>
    <cfRule type="containsText" dxfId="7043" priority="4743" operator="containsText" text="ENTREGADO">
      <formula>NOT(ISERROR(SEARCH("ENTREGADO",B75)))</formula>
    </cfRule>
  </conditionalFormatting>
  <conditionalFormatting sqref="B76 B80:B81 B83:B84">
    <cfRule type="containsText" dxfId="7042" priority="2861" operator="containsText" text="ENTREGADO">
      <formula>NOT(ISERROR(SEARCH("ENTREGADO",B76)))</formula>
    </cfRule>
    <cfRule type="containsText" dxfId="7041" priority="2860" operator="containsText" text="ENTREGADO">
      <formula>NOT(ISERROR(SEARCH("ENTREGADO",B76)))</formula>
    </cfRule>
    <cfRule type="containsText" dxfId="7040" priority="2852" operator="containsText" text="PENDIENTE">
      <formula>NOT(ISERROR(SEARCH("PENDIENTE",B76)))</formula>
    </cfRule>
  </conditionalFormatting>
  <conditionalFormatting sqref="B77">
    <cfRule type="containsText" dxfId="7039" priority="1954" operator="containsText" text="PENDIENTE">
      <formula>NOT(ISERROR(SEARCH("PENDIENTE",B77)))</formula>
    </cfRule>
    <cfRule type="containsText" dxfId="7038" priority="1955" operator="containsText" text="ENTREGADO">
      <formula>NOT(ISERROR(SEARCH("ENTREGADO",B77)))</formula>
    </cfRule>
    <cfRule type="containsText" dxfId="7037" priority="1956" operator="containsText" text="ENTREGADO">
      <formula>NOT(ISERROR(SEARCH("ENTREGADO",B77)))</formula>
    </cfRule>
  </conditionalFormatting>
  <conditionalFormatting sqref="B78">
    <cfRule type="containsText" dxfId="7036" priority="1557" operator="containsText" text="ENTREGADO">
      <formula>NOT(ISERROR(SEARCH("ENTREGADO",B78)))</formula>
    </cfRule>
    <cfRule type="containsText" dxfId="7035" priority="1552" operator="containsText" text="PENDIENTE">
      <formula>NOT(ISERROR(SEARCH("PENDIENTE",B78)))</formula>
    </cfRule>
    <cfRule type="containsText" dxfId="7034" priority="1558" operator="containsText" text="ENTREGADO">
      <formula>NOT(ISERROR(SEARCH("ENTREGADO",B78)))</formula>
    </cfRule>
  </conditionalFormatting>
  <conditionalFormatting sqref="B79">
    <cfRule type="containsText" dxfId="7033" priority="1461" operator="containsText" text="ENTREGADO">
      <formula>NOT(ISERROR(SEARCH("ENTREGADO",B79)))</formula>
    </cfRule>
    <cfRule type="containsText" dxfId="7032" priority="1462" operator="containsText" text="ENTREGADO">
      <formula>NOT(ISERROR(SEARCH("ENTREGADO",B79)))</formula>
    </cfRule>
    <cfRule type="containsText" dxfId="7031" priority="1445" operator="containsText" text="PENDIENTE">
      <formula>NOT(ISERROR(SEARCH("PENDIENTE",B79)))</formula>
    </cfRule>
  </conditionalFormatting>
  <conditionalFormatting sqref="B82">
    <cfRule type="containsText" dxfId="7030" priority="1307" operator="containsText" text="PENDIENTE">
      <formula>NOT(ISERROR(SEARCH("PENDIENTE",B82)))</formula>
    </cfRule>
    <cfRule type="containsText" dxfId="7029" priority="1315" operator="containsText" text="ENTREGADO">
      <formula>NOT(ISERROR(SEARCH("ENTREGADO",B82)))</formula>
    </cfRule>
    <cfRule type="containsText" dxfId="7028" priority="1316" operator="containsText" text="ENTREGADO">
      <formula>NOT(ISERROR(SEARCH("ENTREGADO",B82)))</formula>
    </cfRule>
  </conditionalFormatting>
  <conditionalFormatting sqref="B85">
    <cfRule type="containsText" dxfId="7027" priority="2594" operator="containsText" text="PENDIENTE">
      <formula>NOT(ISERROR(SEARCH("PENDIENTE",B85)))</formula>
    </cfRule>
    <cfRule type="containsText" dxfId="7026" priority="2603" operator="containsText" text="ENTREGADO">
      <formula>NOT(ISERROR(SEARCH("ENTREGADO",B85)))</formula>
    </cfRule>
    <cfRule type="containsText" dxfId="7025" priority="2602" operator="containsText" text="ENTREGADO">
      <formula>NOT(ISERROR(SEARCH("ENTREGADO",B85)))</formula>
    </cfRule>
  </conditionalFormatting>
  <conditionalFormatting sqref="B86">
    <cfRule type="containsText" dxfId="7024" priority="2439" operator="containsText" text="PENDIENTE">
      <formula>NOT(ISERROR(SEARCH("PENDIENTE",B86)))</formula>
    </cfRule>
    <cfRule type="containsText" dxfId="7023" priority="2448" operator="containsText" text="ENTREGADO">
      <formula>NOT(ISERROR(SEARCH("ENTREGADO",B86)))</formula>
    </cfRule>
    <cfRule type="containsText" dxfId="7022" priority="2447" operator="containsText" text="ENTREGADO">
      <formula>NOT(ISERROR(SEARCH("ENTREGADO",B86)))</formula>
    </cfRule>
  </conditionalFormatting>
  <conditionalFormatting sqref="B87">
    <cfRule type="containsText" dxfId="7021" priority="2319" operator="containsText" text="ENTREGADO">
      <formula>NOT(ISERROR(SEARCH("ENTREGADO",B87)))</formula>
    </cfRule>
    <cfRule type="containsText" dxfId="7020" priority="2318" operator="containsText" text="ENTREGADO">
      <formula>NOT(ISERROR(SEARCH("ENTREGADO",B87)))</formula>
    </cfRule>
    <cfRule type="containsText" dxfId="7019" priority="2310" operator="containsText" text="PENDIENTE">
      <formula>NOT(ISERROR(SEARCH("PENDIENTE",B87)))</formula>
    </cfRule>
  </conditionalFormatting>
  <conditionalFormatting sqref="B88">
    <cfRule type="containsText" dxfId="7018" priority="2189" operator="containsText" text="ENTREGADO">
      <formula>NOT(ISERROR(SEARCH("ENTREGADO",B88)))</formula>
    </cfRule>
    <cfRule type="containsText" dxfId="7017" priority="2190" operator="containsText" text="ENTREGADO">
      <formula>NOT(ISERROR(SEARCH("ENTREGADO",B88)))</formula>
    </cfRule>
    <cfRule type="containsText" dxfId="7016" priority="2181" operator="containsText" text="PENDIENTE">
      <formula>NOT(ISERROR(SEARCH("PENDIENTE",B88)))</formula>
    </cfRule>
  </conditionalFormatting>
  <conditionalFormatting sqref="B89">
    <cfRule type="containsText" dxfId="7015" priority="1808" operator="containsText" text="ENTREGADO">
      <formula>NOT(ISERROR(SEARCH("ENTREGADO",B89)))</formula>
    </cfRule>
    <cfRule type="containsText" dxfId="7014" priority="1809" operator="containsText" text="ENTREGADO">
      <formula>NOT(ISERROR(SEARCH("ENTREGADO",B89)))</formula>
    </cfRule>
    <cfRule type="containsText" dxfId="7013" priority="1800" operator="containsText" text="PENDIENTE">
      <formula>NOT(ISERROR(SEARCH("PENDIENTE",B89)))</formula>
    </cfRule>
  </conditionalFormatting>
  <conditionalFormatting sqref="B90">
    <cfRule type="containsText" dxfId="7012" priority="1144" operator="containsText" text="PENDIENTE">
      <formula>NOT(ISERROR(SEARCH("PENDIENTE",B90)))</formula>
    </cfRule>
    <cfRule type="containsText" dxfId="7011" priority="1152" operator="containsText" text="ENTREGADO">
      <formula>NOT(ISERROR(SEARCH("ENTREGADO",B90)))</formula>
    </cfRule>
    <cfRule type="containsText" dxfId="7010" priority="1153" operator="containsText" text="ENTREGADO">
      <formula>NOT(ISERROR(SEARCH("ENTREGADO",B90)))</formula>
    </cfRule>
  </conditionalFormatting>
  <conditionalFormatting sqref="B91">
    <cfRule type="containsText" dxfId="7009" priority="971" operator="containsText" text="PENDIENTE">
      <formula>NOT(ISERROR(SEARCH("PENDIENTE",B91)))</formula>
    </cfRule>
    <cfRule type="containsText" dxfId="7008" priority="979" operator="containsText" text="ENTREGADO">
      <formula>NOT(ISERROR(SEARCH("ENTREGADO",B91)))</formula>
    </cfRule>
    <cfRule type="containsText" dxfId="7007" priority="980" operator="containsText" text="ENTREGADO">
      <formula>NOT(ISERROR(SEARCH("ENTREGADO",B91)))</formula>
    </cfRule>
  </conditionalFormatting>
  <conditionalFormatting sqref="B92">
    <cfRule type="containsText" dxfId="7006" priority="830" operator="containsText" text="PENDIENTE">
      <formula>NOT(ISERROR(SEARCH("PENDIENTE",B92)))</formula>
    </cfRule>
    <cfRule type="containsText" dxfId="7005" priority="839" operator="containsText" text="ENTREGADO">
      <formula>NOT(ISERROR(SEARCH("ENTREGADO",B92)))</formula>
    </cfRule>
    <cfRule type="containsText" dxfId="7004" priority="838" operator="containsText" text="ENTREGADO">
      <formula>NOT(ISERROR(SEARCH("ENTREGADO",B92)))</formula>
    </cfRule>
  </conditionalFormatting>
  <conditionalFormatting sqref="B23:D23 F23 K23:N23 AD23:AG24 AI23:AL24 AN23:AO24 AR23:AW24 BD23:BG24">
    <cfRule type="containsText" dxfId="7003" priority="6926" operator="containsText" text="ENTREGADO">
      <formula>NOT(ISERROR(SEARCH("ENTREGADO",B23)))</formula>
    </cfRule>
  </conditionalFormatting>
  <conditionalFormatting sqref="B23:D23 F23 K23:N23 BD23:BG23 AD23:AG23 AI23:AL23 AN23:AO23 AR23:AW23">
    <cfRule type="containsText" dxfId="7002" priority="6924" operator="containsText" text="PENDIENTE">
      <formula>NOT(ISERROR(SEARCH("PENDIENTE",B23)))</formula>
    </cfRule>
  </conditionalFormatting>
  <conditionalFormatting sqref="B23:D23 F23 K23:N23">
    <cfRule type="containsText" dxfId="7001" priority="6923" operator="containsText" text="ENTREGADO">
      <formula>NOT(ISERROR(SEARCH("ENTREGADO",B23)))</formula>
    </cfRule>
  </conditionalFormatting>
  <conditionalFormatting sqref="B23:D23 F23 AR23:AW23 BD23:BG23 AD23:AG24 AI23:AL24 AN23:AO24 K23:N26">
    <cfRule type="containsText" dxfId="7000" priority="6925" operator="containsText" text="PRIORIDAD">
      <formula>NOT(ISERROR(SEARCH("PRIORIDAD",B23)))</formula>
    </cfRule>
  </conditionalFormatting>
  <conditionalFormatting sqref="B33:D33 F33:H33 J33:N33 V33:W33 Y33:AL33 AN33:BC33">
    <cfRule type="containsText" dxfId="6999" priority="5971" operator="containsText" text="PRIORIDAD">
      <formula>NOT(ISERROR(SEARCH("PRIORIDAD",B33)))</formula>
    </cfRule>
  </conditionalFormatting>
  <conditionalFormatting sqref="C4">
    <cfRule type="containsText" dxfId="6998" priority="18624" operator="containsText" text="ENTREGADO">
      <formula>NOT(ISERROR(SEARCH("ENTREGADO",#REF!)))</formula>
    </cfRule>
    <cfRule type="containsText" dxfId="6997" priority="18626" operator="containsText" text="PENDIENTE">
      <formula>NOT(ISERROR(SEARCH("PENDIENTE",#REF!)))</formula>
    </cfRule>
    <cfRule type="containsText" dxfId="6996" priority="18627" operator="containsText" text="PENDIENTE">
      <formula>NOT(ISERROR(SEARCH("PENDIENTE",C4)))</formula>
    </cfRule>
    <cfRule type="containsText" dxfId="6995" priority="18628" operator="containsText" text="PRIORIDAD">
      <formula>NOT(ISERROR(SEARCH("PRIORIDAD",C4)))</formula>
    </cfRule>
    <cfRule type="containsText" dxfId="6994" priority="18629" operator="containsText" text="ENTREGADO">
      <formula>NOT(ISERROR(SEARCH("ENTREGADO",C4)))</formula>
    </cfRule>
    <cfRule type="containsText" dxfId="6993" priority="18625" operator="containsText" text="ENTREGADO">
      <formula>NOT(ISERROR(SEARCH("ENTREGADO",C4)))</formula>
    </cfRule>
  </conditionalFormatting>
  <conditionalFormatting sqref="C3:D3 G3:N4 F3:F7 C5:D6 C8:D22 F9:F16 K10:K17 M10:N17 F18:F22 F31:H31 J31:N31 F37:H37 J35:N38 C42:D45 F42:H45 J42:N45 K71:N71 AK4:AL4 F57:H58 J57:N58 G62:H62 J62:P62 K5:N7 K18:N22 B3:B22 G38:H38 G35:H36 J50:N50 F50:H50 C50:D50">
    <cfRule type="containsText" dxfId="6992" priority="27190" operator="containsText" text="ENTREGADO">
      <formula>NOT(ISERROR(SEARCH("ENTREGADO",B3)))</formula>
    </cfRule>
  </conditionalFormatting>
  <conditionalFormatting sqref="C23:D23 BD23:BG23">
    <cfRule type="containsText" dxfId="6991" priority="6921" operator="containsText" text="ENTREGADO">
      <formula>NOT(ISERROR(SEARCH("ENTREGADO",#REF!)))</formula>
    </cfRule>
  </conditionalFormatting>
  <conditionalFormatting sqref="C31:D31 C35:D38 C42:D45">
    <cfRule type="containsText" dxfId="6990" priority="24595" operator="containsText" text="PRIORIDAD">
      <formula>NOT(ISERROR(SEARCH("PRIORIDAD",C31)))</formula>
    </cfRule>
  </conditionalFormatting>
  <conditionalFormatting sqref="C31:D31 C35:D38 F37:H37 C42:D45 J35:N38 G38:H38 G35:H36 C50:D50">
    <cfRule type="containsText" dxfId="6989" priority="24596" operator="containsText" text="ENTREGADO">
      <formula>NOT(ISERROR(SEARCH("ENTREGADO",C31)))</formula>
    </cfRule>
  </conditionalFormatting>
  <conditionalFormatting sqref="C31:D31">
    <cfRule type="containsText" dxfId="6988" priority="17436" operator="containsText" text="ENTREGADO">
      <formula>NOT(ISERROR(SEARCH("ENTREGADO",C31)))</formula>
    </cfRule>
    <cfRule type="containsText" dxfId="6987" priority="17435" operator="containsText" text="PENDIENTE">
      <formula>NOT(ISERROR(SEARCH("PENDIENTE",C31)))</formula>
    </cfRule>
  </conditionalFormatting>
  <conditionalFormatting sqref="C33:D33 F33:H33 J33:N33">
    <cfRule type="containsText" dxfId="6986" priority="5968" operator="containsText" text="PENDIENTE">
      <formula>NOT(ISERROR(SEARCH("PENDIENTE",#REF!)))</formula>
    </cfRule>
    <cfRule type="containsText" dxfId="6985" priority="5967" operator="containsText" text="ENTREGADO">
      <formula>NOT(ISERROR(SEARCH("ENTREGADO",#REF!)))</formula>
    </cfRule>
  </conditionalFormatting>
  <conditionalFormatting sqref="C35:D38">
    <cfRule type="containsText" dxfId="6984" priority="15648" operator="containsText" text="PENDIENTE">
      <formula>NOT(ISERROR(SEARCH("PENDIENTE",C35)))</formula>
    </cfRule>
    <cfRule type="containsText" dxfId="6983" priority="15649" operator="containsText" text="ENTREGADO">
      <formula>NOT(ISERROR(SEARCH("ENTREGADO",C35)))</formula>
    </cfRule>
  </conditionalFormatting>
  <conditionalFormatting sqref="C39:D39 BD39:BG39 AI39:AL39 AR39:AW39 AD39:AG39 S39">
    <cfRule type="containsText" dxfId="6982" priority="4282" operator="containsText" text="ENTREGADO">
      <formula>NOT(ISERROR(SEARCH("ENTREGADO",C39)))</formula>
    </cfRule>
  </conditionalFormatting>
  <conditionalFormatting sqref="C39:D39 BD39:BG39">
    <cfRule type="containsText" dxfId="6981" priority="4284" operator="containsText" text="PENDIENTE">
      <formula>NOT(ISERROR(SEARCH("PENDIENTE",#REF!)))</formula>
    </cfRule>
  </conditionalFormatting>
  <conditionalFormatting sqref="C39:D39">
    <cfRule type="containsText" dxfId="6980" priority="4283" operator="containsText" text="ENTREGADO">
      <formula>NOT(ISERROR(SEARCH("ENTREGADO",C39)))</formula>
    </cfRule>
  </conditionalFormatting>
  <conditionalFormatting sqref="C40:D40">
    <cfRule type="containsText" dxfId="6979" priority="7301" operator="containsText" text="ENTREGADO">
      <formula>NOT(ISERROR(SEARCH("ENTREGADO",C40)))</formula>
    </cfRule>
  </conditionalFormatting>
  <conditionalFormatting sqref="C41:D41">
    <cfRule type="containsText" dxfId="6978" priority="3910" operator="containsText" text="ENTREGADO">
      <formula>NOT(ISERROR(SEARCH("ENTREGADO",C41)))</formula>
    </cfRule>
  </conditionalFormatting>
  <conditionalFormatting sqref="C42:D45 C50:D50 C54:D54">
    <cfRule type="containsText" dxfId="6977" priority="7846" operator="containsText" text="ENTREGADO">
      <formula>NOT(ISERROR(SEARCH("ENTREGADO",C42)))</formula>
    </cfRule>
  </conditionalFormatting>
  <conditionalFormatting sqref="C42:D45 C50:D50">
    <cfRule type="containsText" dxfId="6976" priority="6943" operator="containsText" text="PENDIENTE">
      <formula>NOT(ISERROR(SEARCH("PENDIENTE",C42)))</formula>
    </cfRule>
  </conditionalFormatting>
  <conditionalFormatting sqref="C46:D49 F46:H49 J46:N49">
    <cfRule type="containsText" dxfId="6975" priority="4439" operator="containsText" text="ENTREGADO">
      <formula>NOT(ISERROR(SEARCH("ENTREGADO",C46)))</formula>
    </cfRule>
  </conditionalFormatting>
  <conditionalFormatting sqref="C46:D49">
    <cfRule type="containsText" dxfId="6974" priority="4434" operator="containsText" text="PRIORIDAD">
      <formula>NOT(ISERROR(SEARCH("PRIORIDAD",C46)))</formula>
    </cfRule>
    <cfRule type="containsText" dxfId="6973" priority="4435" operator="containsText" text="ENTREGADO">
      <formula>NOT(ISERROR(SEARCH("ENTREGADO",C46)))</formula>
    </cfRule>
    <cfRule type="containsText" dxfId="6972" priority="4360" operator="containsText" text="PENDIENTE">
      <formula>NOT(ISERROR(SEARCH("PENDIENTE",C46)))</formula>
    </cfRule>
    <cfRule type="containsText" dxfId="6971" priority="4372" operator="containsText" text="ENTREGADO">
      <formula>NOT(ISERROR(SEARCH("ENTREGADO",C46)))</formula>
    </cfRule>
  </conditionalFormatting>
  <conditionalFormatting sqref="C53:D53">
    <cfRule type="containsText" dxfId="6970" priority="241" operator="containsText" text="ENTREGADO">
      <formula>NOT(ISERROR(SEARCH("ENTREGADO",C53)))</formula>
    </cfRule>
  </conditionalFormatting>
  <conditionalFormatting sqref="C55:D55 F55:O55">
    <cfRule type="containsText" dxfId="6969" priority="652" operator="containsText" text="ENTREGADO">
      <formula>NOT(ISERROR(SEARCH("ENTREGADO",C55)))</formula>
    </cfRule>
  </conditionalFormatting>
  <conditionalFormatting sqref="C55:D55 J55:N55 F55:H55">
    <cfRule type="containsText" dxfId="6968" priority="593" operator="containsText" text="PENDIENTE">
      <formula>NOT(ISERROR(SEARCH("PENDIENTE",#REF!)))</formula>
    </cfRule>
    <cfRule type="containsText" dxfId="6967" priority="650" operator="containsText" text="PENDIENTE">
      <formula>NOT(ISERROR(SEARCH("PENDIENTE",C55)))</formula>
    </cfRule>
  </conditionalFormatting>
  <conditionalFormatting sqref="C55:D55 J55:N55 Q55 AD55:AG55 AI55:AL55 AN55:AO55 AR55:BA55 BC55 F55:H55">
    <cfRule type="containsText" dxfId="6966" priority="651" operator="containsText" text="ENTREGADO">
      <formula>NOT(ISERROR(SEARCH("ENTREGADO",C55)))</formula>
    </cfRule>
  </conditionalFormatting>
  <conditionalFormatting sqref="C55:D55 BH55:XFD55 Q55:R55 AD55:AL55 T55 V55:X55 AN55:BA55 BC55 F55:N55">
    <cfRule type="containsText" dxfId="6965" priority="648" operator="containsText" text="PRIORIDAD">
      <formula>NOT(ISERROR(SEARCH("PRIORIDAD",C55)))</formula>
    </cfRule>
  </conditionalFormatting>
  <conditionalFormatting sqref="C56:D56 F56:H56 J56:N56">
    <cfRule type="containsText" dxfId="6964" priority="7042" operator="containsText" text="PENDIENTE">
      <formula>NOT(ISERROR(SEARCH("PENDIENTE",#REF!)))</formula>
    </cfRule>
    <cfRule type="containsText" dxfId="6963" priority="7043" operator="containsText" text="ENTREGADO">
      <formula>NOT(ISERROR(SEARCH("ENTREGADO",C56)))</formula>
    </cfRule>
  </conditionalFormatting>
  <conditionalFormatting sqref="C56:D56 Y56:Z58 AB56:AC58 AB51:AC54 Y51:Z54">
    <cfRule type="containsText" dxfId="6962" priority="7041" operator="containsText" text="ENTREGADO">
      <formula>NOT(ISERROR(SEARCH("ENTREGADO",#REF!)))</formula>
    </cfRule>
    <cfRule type="containsText" dxfId="6961" priority="7040" operator="containsText" text="ENTREGADO">
      <formula>NOT(ISERROR(SEARCH("ENTREGADO",C51)))</formula>
    </cfRule>
  </conditionalFormatting>
  <conditionalFormatting sqref="C56:D58">
    <cfRule type="containsText" dxfId="6960" priority="7039" operator="containsText" text="PRIORIDAD">
      <formula>NOT(ISERROR(SEARCH("PRIORIDAD",C56)))</formula>
    </cfRule>
  </conditionalFormatting>
  <conditionalFormatting sqref="C59:D59 F59:H59 J59:N59">
    <cfRule type="containsText" dxfId="6959" priority="3560" operator="containsText" text="PENDIENTE">
      <formula>NOT(ISERROR(SEARCH("PENDIENTE",#REF!)))</formula>
    </cfRule>
    <cfRule type="containsText" dxfId="6958" priority="3558" operator="containsText" text="ENTREGADO">
      <formula>NOT(ISERROR(SEARCH("ENTREGADO",C59)))</formula>
    </cfRule>
  </conditionalFormatting>
  <conditionalFormatting sqref="C59:D59">
    <cfRule type="containsText" dxfId="6957" priority="3497" operator="containsText" text="PRIORIDAD">
      <formula>NOT(ISERROR(SEARCH("PRIORIDAD",C59)))</formula>
    </cfRule>
    <cfRule type="containsText" dxfId="6956" priority="3559" operator="containsText" text="ENTREGADO">
      <formula>NOT(ISERROR(SEARCH("ENTREGADO",C59)))</formula>
    </cfRule>
  </conditionalFormatting>
  <conditionalFormatting sqref="C60:D60 F60:H60 J60:N60">
    <cfRule type="containsText" dxfId="6955" priority="4725" operator="containsText" text="ENTREGADO">
      <formula>NOT(ISERROR(SEARCH("ENTREGADO",C60)))</formula>
    </cfRule>
    <cfRule type="containsText" dxfId="6954" priority="4727" operator="containsText" text="PENDIENTE">
      <formula>NOT(ISERROR(SEARCH("PENDIENTE",#REF!)))</formula>
    </cfRule>
  </conditionalFormatting>
  <conditionalFormatting sqref="C60:D60">
    <cfRule type="containsText" dxfId="6953" priority="4726" operator="containsText" text="ENTREGADO">
      <formula>NOT(ISERROR(SEARCH("ENTREGADO",C60)))</formula>
    </cfRule>
  </conditionalFormatting>
  <conditionalFormatting sqref="C61:D61 F61:H61 J61:N61">
    <cfRule type="containsText" dxfId="6952" priority="4588" operator="containsText" text="PENDIENTE">
      <formula>NOT(ISERROR(SEARCH("PENDIENTE",#REF!)))</formula>
    </cfRule>
    <cfRule type="containsText" dxfId="6951" priority="4586" operator="containsText" text="ENTREGADO">
      <formula>NOT(ISERROR(SEARCH("ENTREGADO",C61)))</formula>
    </cfRule>
  </conditionalFormatting>
  <conditionalFormatting sqref="C61:D61">
    <cfRule type="containsText" dxfId="6950" priority="4525" operator="containsText" text="PRIORIDAD">
      <formula>NOT(ISERROR(SEARCH("PRIORIDAD",C61)))</formula>
    </cfRule>
    <cfRule type="containsText" dxfId="6949" priority="4587" operator="containsText" text="ENTREGADO">
      <formula>NOT(ISERROR(SEARCH("ENTREGADO",C61)))</formula>
    </cfRule>
  </conditionalFormatting>
  <conditionalFormatting sqref="C75:D75 F75:H75 J75:N75">
    <cfRule type="containsText" dxfId="6948" priority="4866" operator="containsText" text="PENDIENTE">
      <formula>NOT(ISERROR(SEARCH("PENDIENTE",#REF!)))</formula>
    </cfRule>
    <cfRule type="containsText" dxfId="6947" priority="4864" operator="containsText" text="ENTREGADO">
      <formula>NOT(ISERROR(SEARCH("ENTREGADO",C75)))</formula>
    </cfRule>
  </conditionalFormatting>
  <conditionalFormatting sqref="C75:D75">
    <cfRule type="containsText" dxfId="6946" priority="4865" operator="containsText" text="ENTREGADO">
      <formula>NOT(ISERROR(SEARCH("ENTREGADO",C75)))</formula>
    </cfRule>
  </conditionalFormatting>
  <conditionalFormatting sqref="C76:D76 C80:D81 C83:D84 A76 T76 V76:X76 AD76:AG76 AN76:AO76 A80:A81 T80:T81 V80:X81 AG80:AG81 AN80:AO81 AD81 A83:A84 T83:T84 V83:X84 AD83:AD84 AG83:AG84 AN83:AO84">
    <cfRule type="containsText" dxfId="6945" priority="2979" operator="containsText" text="PRIORIDAD">
      <formula>NOT(ISERROR(SEARCH("PRIORIDAD",A76)))</formula>
    </cfRule>
  </conditionalFormatting>
  <conditionalFormatting sqref="C76:D76 C80:D81 C83:D84">
    <cfRule type="containsText" dxfId="6944" priority="2974" operator="containsText" text="ENTREGADO">
      <formula>NOT(ISERROR(SEARCH("ENTREGADO",C76)))</formula>
    </cfRule>
  </conditionalFormatting>
  <conditionalFormatting sqref="C76:D76 F76:H76 J76:N76 J80:N81 F80:H81 C80:D81 C83:D84 F83:H84 J83:N84">
    <cfRule type="containsText" dxfId="6943" priority="2973" operator="containsText" text="ENTREGADO">
      <formula>NOT(ISERROR(SEARCH("ENTREGADO",C76)))</formula>
    </cfRule>
    <cfRule type="containsText" dxfId="6942" priority="2975" operator="containsText" text="PENDIENTE">
      <formula>NOT(ISERROR(SEARCH("PENDIENTE",#REF!)))</formula>
    </cfRule>
  </conditionalFormatting>
  <conditionalFormatting sqref="C77:D77">
    <cfRule type="containsText" dxfId="6941" priority="2160" operator="containsText" text="ENTREGADO">
      <formula>NOT(ISERROR(SEARCH("ENTREGADO",C77)))</formula>
    </cfRule>
  </conditionalFormatting>
  <conditionalFormatting sqref="C78:D78 F78:H78 J78:N78">
    <cfRule type="containsText" dxfId="6940" priority="1677" operator="containsText" text="PENDIENTE">
      <formula>NOT(ISERROR(SEARCH("PENDIENTE",#REF!)))</formula>
    </cfRule>
    <cfRule type="containsText" dxfId="6939" priority="1675" operator="containsText" text="ENTREGADO">
      <formula>NOT(ISERROR(SEARCH("ENTREGADO",C78)))</formula>
    </cfRule>
  </conditionalFormatting>
  <conditionalFormatting sqref="C78:D78 I78 O78">
    <cfRule type="containsText" dxfId="6938" priority="1676" operator="containsText" text="ENTREGADO">
      <formula>NOT(ISERROR(SEARCH("ENTREGADO",C78)))</formula>
    </cfRule>
  </conditionalFormatting>
  <conditionalFormatting sqref="C78:D78">
    <cfRule type="containsText" dxfId="6937" priority="1604" operator="containsText" text="PRIORIDAD">
      <formula>NOT(ISERROR(SEARCH("PRIORIDAD",C78)))</formula>
    </cfRule>
  </conditionalFormatting>
  <conditionalFormatting sqref="C82:D82 A82 T82 V82:X82 AD82 AG82 AN82:AO82 R82">
    <cfRule type="containsText" dxfId="6936" priority="1415" operator="containsText" text="PRIORIDAD">
      <formula>NOT(ISERROR(SEARCH("PRIORIDAD",A82)))</formula>
    </cfRule>
  </conditionalFormatting>
  <conditionalFormatting sqref="C82:D82">
    <cfRule type="containsText" dxfId="6935" priority="1410" operator="containsText" text="ENTREGADO">
      <formula>NOT(ISERROR(SEARCH("ENTREGADO",C82)))</formula>
    </cfRule>
  </conditionalFormatting>
  <conditionalFormatting sqref="C85:D85 A85 T85 V85:X85 AD85 AG85 AN85:AO85">
    <cfRule type="containsText" dxfId="6934" priority="2721" operator="containsText" text="PRIORIDAD">
      <formula>NOT(ISERROR(SEARCH("PRIORIDAD",A85)))</formula>
    </cfRule>
  </conditionalFormatting>
  <conditionalFormatting sqref="C85:D85 F85:H85 J85:N85">
    <cfRule type="containsText" dxfId="6933" priority="2717" operator="containsText" text="PENDIENTE">
      <formula>NOT(ISERROR(SEARCH("PENDIENTE",#REF!)))</formula>
    </cfRule>
    <cfRule type="containsText" dxfId="6932" priority="2715" operator="containsText" text="ENTREGADO">
      <formula>NOT(ISERROR(SEARCH("ENTREGADO",C85)))</formula>
    </cfRule>
  </conditionalFormatting>
  <conditionalFormatting sqref="C85:D85">
    <cfRule type="containsText" dxfId="6931" priority="2716" operator="containsText" text="ENTREGADO">
      <formula>NOT(ISERROR(SEARCH("ENTREGADO",C85)))</formula>
    </cfRule>
  </conditionalFormatting>
  <conditionalFormatting sqref="C86:D86 A86 T86 V86:X86 AD86 AG86 AN86:AO86 R86">
    <cfRule type="containsText" dxfId="6930" priority="2566" operator="containsText" text="PRIORIDAD">
      <formula>NOT(ISERROR(SEARCH("PRIORIDAD",A86)))</formula>
    </cfRule>
  </conditionalFormatting>
  <conditionalFormatting sqref="C86:D86 F86:H86 J86:N86">
    <cfRule type="containsText" dxfId="6929" priority="2562" operator="containsText" text="PENDIENTE">
      <formula>NOT(ISERROR(SEARCH("PENDIENTE",#REF!)))</formula>
    </cfRule>
    <cfRule type="containsText" dxfId="6928" priority="2560" operator="containsText" text="ENTREGADO">
      <formula>NOT(ISERROR(SEARCH("ENTREGADO",C86)))</formula>
    </cfRule>
  </conditionalFormatting>
  <conditionalFormatting sqref="C86:D86">
    <cfRule type="containsText" dxfId="6927" priority="2561" operator="containsText" text="ENTREGADO">
      <formula>NOT(ISERROR(SEARCH("ENTREGADO",C86)))</formula>
    </cfRule>
  </conditionalFormatting>
  <conditionalFormatting sqref="C87:D87 A87 T87 V87:X87 AD87 AG87 AN87:AO87 R87">
    <cfRule type="containsText" dxfId="6926" priority="2437" operator="containsText" text="PRIORIDAD">
      <formula>NOT(ISERROR(SEARCH("PRIORIDAD",A87)))</formula>
    </cfRule>
  </conditionalFormatting>
  <conditionalFormatting sqref="C87:D87 F87:H87 J87:N87">
    <cfRule type="containsText" dxfId="6925" priority="2431" operator="containsText" text="ENTREGADO">
      <formula>NOT(ISERROR(SEARCH("ENTREGADO",C87)))</formula>
    </cfRule>
    <cfRule type="containsText" dxfId="6924" priority="2433" operator="containsText" text="PENDIENTE">
      <formula>NOT(ISERROR(SEARCH("PENDIENTE",#REF!)))</formula>
    </cfRule>
  </conditionalFormatting>
  <conditionalFormatting sqref="C87:D87">
    <cfRule type="containsText" dxfId="6923" priority="2432" operator="containsText" text="ENTREGADO">
      <formula>NOT(ISERROR(SEARCH("ENTREGADO",C87)))</formula>
    </cfRule>
  </conditionalFormatting>
  <conditionalFormatting sqref="C88:D88 A88 T88 V88:X88 AD88 AG88 AN88:AO88">
    <cfRule type="containsText" dxfId="6922" priority="2308" operator="containsText" text="PRIORIDAD">
      <formula>NOT(ISERROR(SEARCH("PRIORIDAD",A88)))</formula>
    </cfRule>
  </conditionalFormatting>
  <conditionalFormatting sqref="C88:D88 F88:H88 J88:N88">
    <cfRule type="containsText" dxfId="6921" priority="2302" operator="containsText" text="ENTREGADO">
      <formula>NOT(ISERROR(SEARCH("ENTREGADO",C88)))</formula>
    </cfRule>
    <cfRule type="containsText" dxfId="6920" priority="2304" operator="containsText" text="PENDIENTE">
      <formula>NOT(ISERROR(SEARCH("PENDIENTE",#REF!)))</formula>
    </cfRule>
  </conditionalFormatting>
  <conditionalFormatting sqref="C88:D88">
    <cfRule type="containsText" dxfId="6919" priority="2303" operator="containsText" text="ENTREGADO">
      <formula>NOT(ISERROR(SEARCH("ENTREGADO",C88)))</formula>
    </cfRule>
  </conditionalFormatting>
  <conditionalFormatting sqref="C89:D89 A89 T89 V89:X89 AD89 AG89 AN89:AO89 R89">
    <cfRule type="containsText" dxfId="6918" priority="1927" operator="containsText" text="PRIORIDAD">
      <formula>NOT(ISERROR(SEARCH("PRIORIDAD",A89)))</formula>
    </cfRule>
  </conditionalFormatting>
  <conditionalFormatting sqref="C89:D89 F89:H89 J89:N89">
    <cfRule type="containsText" dxfId="6917" priority="1923" operator="containsText" text="PENDIENTE">
      <formula>NOT(ISERROR(SEARCH("PENDIENTE",#REF!)))</formula>
    </cfRule>
    <cfRule type="containsText" dxfId="6916" priority="1921" operator="containsText" text="ENTREGADO">
      <formula>NOT(ISERROR(SEARCH("ENTREGADO",C89)))</formula>
    </cfRule>
  </conditionalFormatting>
  <conditionalFormatting sqref="C89:D89">
    <cfRule type="containsText" dxfId="6915" priority="1922" operator="containsText" text="ENTREGADO">
      <formula>NOT(ISERROR(SEARCH("ENTREGADO",C89)))</formula>
    </cfRule>
  </conditionalFormatting>
  <conditionalFormatting sqref="C90:D90 A90 T90 V90:X90 AD90 AG90 AN90:AO90 R90">
    <cfRule type="containsText" dxfId="6914" priority="1252" operator="containsText" text="PRIORIDAD">
      <formula>NOT(ISERROR(SEARCH("PRIORIDAD",A90)))</formula>
    </cfRule>
  </conditionalFormatting>
  <conditionalFormatting sqref="C90:D90 F90:H90 J90:N90">
    <cfRule type="containsText" dxfId="6913" priority="1246" operator="containsText" text="ENTREGADO">
      <formula>NOT(ISERROR(SEARCH("ENTREGADO",C90)))</formula>
    </cfRule>
    <cfRule type="containsText" dxfId="6912" priority="1248" operator="containsText" text="PENDIENTE">
      <formula>NOT(ISERROR(SEARCH("PENDIENTE",#REF!)))</formula>
    </cfRule>
  </conditionalFormatting>
  <conditionalFormatting sqref="C90:D90">
    <cfRule type="containsText" dxfId="6911" priority="1247" operator="containsText" text="ENTREGADO">
      <formula>NOT(ISERROR(SEARCH("ENTREGADO",C90)))</formula>
    </cfRule>
  </conditionalFormatting>
  <conditionalFormatting sqref="C91:D91 A91 T91 V91:X91 AD91 AG91 AN91:AO91 R91">
    <cfRule type="containsText" dxfId="6910" priority="1072" operator="containsText" text="PRIORIDAD">
      <formula>NOT(ISERROR(SEARCH("PRIORIDAD",A91)))</formula>
    </cfRule>
  </conditionalFormatting>
  <conditionalFormatting sqref="C91:D91 F91:H91 J91:N91">
    <cfRule type="containsText" dxfId="6909" priority="1068" operator="containsText" text="PENDIENTE">
      <formula>NOT(ISERROR(SEARCH("PENDIENTE",#REF!)))</formula>
    </cfRule>
    <cfRule type="containsText" dxfId="6908" priority="1066" operator="containsText" text="ENTREGADO">
      <formula>NOT(ISERROR(SEARCH("ENTREGADO",C91)))</formula>
    </cfRule>
  </conditionalFormatting>
  <conditionalFormatting sqref="C91:D91">
    <cfRule type="containsText" dxfId="6907" priority="1067" operator="containsText" text="ENTREGADO">
      <formula>NOT(ISERROR(SEARCH("ENTREGADO",C91)))</formula>
    </cfRule>
  </conditionalFormatting>
  <conditionalFormatting sqref="C92:D92 A92 T92 V92:X92 AD92 AG92 AN92:AO92 R92">
    <cfRule type="containsText" dxfId="6906" priority="931" operator="containsText" text="PRIORIDAD">
      <formula>NOT(ISERROR(SEARCH("PRIORIDAD",A92)))</formula>
    </cfRule>
  </conditionalFormatting>
  <conditionalFormatting sqref="C92:D92 F92:H92 J92:N92">
    <cfRule type="containsText" dxfId="6905" priority="925" operator="containsText" text="ENTREGADO">
      <formula>NOT(ISERROR(SEARCH("ENTREGADO",C92)))</formula>
    </cfRule>
    <cfRule type="containsText" dxfId="6904" priority="927" operator="containsText" text="PENDIENTE">
      <formula>NOT(ISERROR(SEARCH("PENDIENTE",#REF!)))</formula>
    </cfRule>
  </conditionalFormatting>
  <conditionalFormatting sqref="C92:D92">
    <cfRule type="containsText" dxfId="6903" priority="926" operator="containsText" text="ENTREGADO">
      <formula>NOT(ISERROR(SEARCH("ENTREGADO",C92)))</formula>
    </cfRule>
  </conditionalFormatting>
  <conditionalFormatting sqref="C39:E39">
    <cfRule type="containsText" dxfId="6902" priority="3981" operator="containsText" text="PRIORIDAD">
      <formula>NOT(ISERROR(SEARCH("PRIORIDAD",C39)))</formula>
    </cfRule>
  </conditionalFormatting>
  <conditionalFormatting sqref="C40:E40 O40 BD40:BG40">
    <cfRule type="containsText" dxfId="6901" priority="7308" operator="containsText" text="PRIORIDAD">
      <formula>NOT(ISERROR(SEARCH("PRIORIDAD",C40)))</formula>
    </cfRule>
  </conditionalFormatting>
  <conditionalFormatting sqref="C40:E40">
    <cfRule type="containsText" dxfId="6900" priority="7300" operator="containsText" text="PENDIENTE">
      <formula>NOT(ISERROR(SEARCH("PENDIENTE",#REF!)))</formula>
    </cfRule>
  </conditionalFormatting>
  <conditionalFormatting sqref="C41:E41 AD41:AG41 AI41:AL41 AN41:AO41 AR41:BA41 O41">
    <cfRule type="containsText" dxfId="6899" priority="3920" operator="containsText" text="PRIORIDAD">
      <formula>NOT(ISERROR(SEARCH("PRIORIDAD",C41)))</formula>
    </cfRule>
  </conditionalFormatting>
  <conditionalFormatting sqref="C41:E41">
    <cfRule type="containsText" dxfId="6898" priority="3911" operator="containsText" text="PENDIENTE">
      <formula>NOT(ISERROR(SEARCH("PENDIENTE",#REF!)))</formula>
    </cfRule>
  </conditionalFormatting>
  <conditionalFormatting sqref="C51:E53 E57">
    <cfRule type="containsText" dxfId="6897" priority="9495" operator="containsText" text="ENTREGADO">
      <formula>NOT(ISERROR(SEARCH("ENTREGADO",C51)))</formula>
    </cfRule>
  </conditionalFormatting>
  <conditionalFormatting sqref="C55:E55">
    <cfRule type="containsText" dxfId="6896" priority="607" operator="containsText" text="ENTREGADO">
      <formula>NOT(ISERROR(SEARCH("ENTREGADO",C55)))</formula>
    </cfRule>
  </conditionalFormatting>
  <conditionalFormatting sqref="C56:E56">
    <cfRule type="containsText" dxfId="6895" priority="6961" operator="containsText" text="ENTREGADO">
      <formula>NOT(ISERROR(SEARCH("ENTREGADO",C56)))</formula>
    </cfRule>
  </conditionalFormatting>
  <conditionalFormatting sqref="C58:E58">
    <cfRule type="containsText" dxfId="6894" priority="9016" operator="containsText" text="ENTREGADO">
      <formula>NOT(ISERROR(SEARCH("ENTREGADO",C58)))</formula>
    </cfRule>
    <cfRule type="containsText" dxfId="6893" priority="9014" operator="containsText" text="PENDIENTE">
      <formula>NOT(ISERROR(SEARCH("PENDIENTE",C58)))</formula>
    </cfRule>
  </conditionalFormatting>
  <conditionalFormatting sqref="C59:E59">
    <cfRule type="containsText" dxfId="6892" priority="3508" operator="containsText" text="PENDIENTE">
      <formula>NOT(ISERROR(SEARCH("PENDIENTE",C59)))</formula>
    </cfRule>
    <cfRule type="containsText" dxfId="6891" priority="3510" operator="containsText" text="ENTREGADO">
      <formula>NOT(ISERROR(SEARCH("ENTREGADO",C59)))</formula>
    </cfRule>
  </conditionalFormatting>
  <conditionalFormatting sqref="C60:E60">
    <cfRule type="containsText" dxfId="6890" priority="4677" operator="containsText" text="ENTREGADO">
      <formula>NOT(ISERROR(SEARCH("ENTREGADO",C60)))</formula>
    </cfRule>
    <cfRule type="containsText" dxfId="6889" priority="4675" operator="containsText" text="PENDIENTE">
      <formula>NOT(ISERROR(SEARCH("PENDIENTE",C60)))</formula>
    </cfRule>
  </conditionalFormatting>
  <conditionalFormatting sqref="C61:E61">
    <cfRule type="containsText" dxfId="6888" priority="4536" operator="containsText" text="PENDIENTE">
      <formula>NOT(ISERROR(SEARCH("PENDIENTE",C61)))</formula>
    </cfRule>
    <cfRule type="containsText" dxfId="6887" priority="4538" operator="containsText" text="ENTREGADO">
      <formula>NOT(ISERROR(SEARCH("ENTREGADO",C61)))</formula>
    </cfRule>
  </conditionalFormatting>
  <conditionalFormatting sqref="C71:E71">
    <cfRule type="containsText" dxfId="6886" priority="9776" operator="containsText" text="PENDIENTE">
      <formula>NOT(ISERROR(SEARCH("PENDIENTE",C71)))</formula>
    </cfRule>
    <cfRule type="containsText" dxfId="6885" priority="9778" operator="containsText" text="ENTREGADO">
      <formula>NOT(ISERROR(SEARCH("ENTREGADO",C71)))</formula>
    </cfRule>
  </conditionalFormatting>
  <conditionalFormatting sqref="C72:E72">
    <cfRule type="containsText" dxfId="6884" priority="6694" operator="containsText" text="PENDIENTE">
      <formula>NOT(ISERROR(SEARCH("PENDIENTE",C72)))</formula>
    </cfRule>
    <cfRule type="containsText" dxfId="6883" priority="6696" operator="containsText" text="ENTREGADO">
      <formula>NOT(ISERROR(SEARCH("ENTREGADO",C72)))</formula>
    </cfRule>
  </conditionalFormatting>
  <conditionalFormatting sqref="C73:E73">
    <cfRule type="containsText" dxfId="6882" priority="6567" operator="containsText" text="PENDIENTE">
      <formula>NOT(ISERROR(SEARCH("PENDIENTE",C73)))</formula>
    </cfRule>
    <cfRule type="containsText" dxfId="6881" priority="6569" operator="containsText" text="ENTREGADO">
      <formula>NOT(ISERROR(SEARCH("ENTREGADO",C73)))</formula>
    </cfRule>
  </conditionalFormatting>
  <conditionalFormatting sqref="C74:E74">
    <cfRule type="containsText" dxfId="6880" priority="6439" operator="containsText" text="PENDIENTE">
      <formula>NOT(ISERROR(SEARCH("PENDIENTE",C74)))</formula>
    </cfRule>
    <cfRule type="containsText" dxfId="6879" priority="6441" operator="containsText" text="ENTREGADO">
      <formula>NOT(ISERROR(SEARCH("ENTREGADO",C74)))</formula>
    </cfRule>
  </conditionalFormatting>
  <conditionalFormatting sqref="C75:E75">
    <cfRule type="containsText" dxfId="6878" priority="4816" operator="containsText" text="ENTREGADO">
      <formula>NOT(ISERROR(SEARCH("ENTREGADO",C75)))</formula>
    </cfRule>
    <cfRule type="containsText" dxfId="6877" priority="4814" operator="containsText" text="PENDIENTE">
      <formula>NOT(ISERROR(SEARCH("PENDIENTE",C75)))</formula>
    </cfRule>
  </conditionalFormatting>
  <conditionalFormatting sqref="C76:E76 C80:E81 C83:E84">
    <cfRule type="containsText" dxfId="6876" priority="2925" operator="containsText" text="PENDIENTE">
      <formula>NOT(ISERROR(SEARCH("PENDIENTE",C76)))</formula>
    </cfRule>
    <cfRule type="containsText" dxfId="6875" priority="2927" operator="containsText" text="ENTREGADO">
      <formula>NOT(ISERROR(SEARCH("ENTREGADO",C76)))</formula>
    </cfRule>
  </conditionalFormatting>
  <conditionalFormatting sqref="C77:E77 AD77:AG77 AI77:AL77 AN77:AO77 AR77:BA77">
    <cfRule type="containsText" dxfId="6874" priority="2170" operator="containsText" text="PRIORIDAD">
      <formula>NOT(ISERROR(SEARCH("PRIORIDAD",C77)))</formula>
    </cfRule>
  </conditionalFormatting>
  <conditionalFormatting sqref="C77:E77">
    <cfRule type="containsText" dxfId="6873" priority="2161" operator="containsText" text="PENDIENTE">
      <formula>NOT(ISERROR(SEARCH("PENDIENTE",#REF!)))</formula>
    </cfRule>
  </conditionalFormatting>
  <conditionalFormatting sqref="C78:E78">
    <cfRule type="containsText" dxfId="6872" priority="1626" operator="containsText" text="ENTREGADO">
      <formula>NOT(ISERROR(SEARCH("ENTREGADO",C78)))</formula>
    </cfRule>
    <cfRule type="containsText" dxfId="6871" priority="1624" operator="containsText" text="PENDIENTE">
      <formula>NOT(ISERROR(SEARCH("PENDIENTE",C78)))</formula>
    </cfRule>
  </conditionalFormatting>
  <conditionalFormatting sqref="C82:E82">
    <cfRule type="containsText" dxfId="6870" priority="1363" operator="containsText" text="ENTREGADO">
      <formula>NOT(ISERROR(SEARCH("ENTREGADO",C82)))</formula>
    </cfRule>
    <cfRule type="containsText" dxfId="6869" priority="1361" operator="containsText" text="PENDIENTE">
      <formula>NOT(ISERROR(SEARCH("PENDIENTE",C82)))</formula>
    </cfRule>
  </conditionalFormatting>
  <conditionalFormatting sqref="C85:E85">
    <cfRule type="containsText" dxfId="6868" priority="2669" operator="containsText" text="ENTREGADO">
      <formula>NOT(ISERROR(SEARCH("ENTREGADO",C85)))</formula>
    </cfRule>
    <cfRule type="containsText" dxfId="6867" priority="2667" operator="containsText" text="PENDIENTE">
      <formula>NOT(ISERROR(SEARCH("PENDIENTE",C85)))</formula>
    </cfRule>
  </conditionalFormatting>
  <conditionalFormatting sqref="C86:E86">
    <cfRule type="containsText" dxfId="6866" priority="2514" operator="containsText" text="ENTREGADO">
      <formula>NOT(ISERROR(SEARCH("ENTREGADO",C86)))</formula>
    </cfRule>
    <cfRule type="containsText" dxfId="6865" priority="2512" operator="containsText" text="PENDIENTE">
      <formula>NOT(ISERROR(SEARCH("PENDIENTE",C86)))</formula>
    </cfRule>
  </conditionalFormatting>
  <conditionalFormatting sqref="C87:E87">
    <cfRule type="containsText" dxfId="6864" priority="2383" operator="containsText" text="PENDIENTE">
      <formula>NOT(ISERROR(SEARCH("PENDIENTE",C87)))</formula>
    </cfRule>
    <cfRule type="containsText" dxfId="6863" priority="2385" operator="containsText" text="ENTREGADO">
      <formula>NOT(ISERROR(SEARCH("ENTREGADO",C87)))</formula>
    </cfRule>
  </conditionalFormatting>
  <conditionalFormatting sqref="C88:E88">
    <cfRule type="containsText" dxfId="6862" priority="2254" operator="containsText" text="PENDIENTE">
      <formula>NOT(ISERROR(SEARCH("PENDIENTE",C88)))</formula>
    </cfRule>
    <cfRule type="containsText" dxfId="6861" priority="2256" operator="containsText" text="ENTREGADO">
      <formula>NOT(ISERROR(SEARCH("ENTREGADO",C88)))</formula>
    </cfRule>
  </conditionalFormatting>
  <conditionalFormatting sqref="C89:E89">
    <cfRule type="containsText" dxfId="6860" priority="1875" operator="containsText" text="ENTREGADO">
      <formula>NOT(ISERROR(SEARCH("ENTREGADO",C89)))</formula>
    </cfRule>
    <cfRule type="containsText" dxfId="6859" priority="1873" operator="containsText" text="PENDIENTE">
      <formula>NOT(ISERROR(SEARCH("PENDIENTE",C89)))</formula>
    </cfRule>
  </conditionalFormatting>
  <conditionalFormatting sqref="C90:E90">
    <cfRule type="containsText" dxfId="6858" priority="1198" operator="containsText" text="PENDIENTE">
      <formula>NOT(ISERROR(SEARCH("PENDIENTE",C90)))</formula>
    </cfRule>
    <cfRule type="containsText" dxfId="6857" priority="1200" operator="containsText" text="ENTREGADO">
      <formula>NOT(ISERROR(SEARCH("ENTREGADO",C90)))</formula>
    </cfRule>
  </conditionalFormatting>
  <conditionalFormatting sqref="C91:E91">
    <cfRule type="containsText" dxfId="6856" priority="1018" operator="containsText" text="PENDIENTE">
      <formula>NOT(ISERROR(SEARCH("PENDIENTE",C91)))</formula>
    </cfRule>
    <cfRule type="containsText" dxfId="6855" priority="1020" operator="containsText" text="ENTREGADO">
      <formula>NOT(ISERROR(SEARCH("ENTREGADO",C91)))</formula>
    </cfRule>
  </conditionalFormatting>
  <conditionalFormatting sqref="C92:E92">
    <cfRule type="containsText" dxfId="6854" priority="877" operator="containsText" text="PENDIENTE">
      <formula>NOT(ISERROR(SEARCH("PENDIENTE",C92)))</formula>
    </cfRule>
    <cfRule type="containsText" dxfId="6853" priority="879" operator="containsText" text="ENTREGADO">
      <formula>NOT(ISERROR(SEARCH("ENTREGADO",C92)))</formula>
    </cfRule>
  </conditionalFormatting>
  <conditionalFormatting sqref="C72:F72">
    <cfRule type="containsText" dxfId="6852" priority="6765" operator="containsText" text="PENDIENTE">
      <formula>NOT(ISERROR(SEARCH("PENDIENTE",#REF!)))</formula>
    </cfRule>
  </conditionalFormatting>
  <conditionalFormatting sqref="C73:F73">
    <cfRule type="containsText" dxfId="6851" priority="6638" operator="containsText" text="PENDIENTE">
      <formula>NOT(ISERROR(SEARCH("PENDIENTE",#REF!)))</formula>
    </cfRule>
  </conditionalFormatting>
  <conditionalFormatting sqref="C74:F74">
    <cfRule type="containsText" dxfId="6850" priority="6510" operator="containsText" text="PENDIENTE">
      <formula>NOT(ISERROR(SEARCH("PENDIENTE",#REF!)))</formula>
    </cfRule>
  </conditionalFormatting>
  <conditionalFormatting sqref="C46:H49 J46:N49">
    <cfRule type="containsText" dxfId="6849" priority="4438" operator="containsText" text="PENDIENTE">
      <formula>NOT(ISERROR(SEARCH("PENDIENTE",#REF!)))</formula>
    </cfRule>
  </conditionalFormatting>
  <conditionalFormatting sqref="C70:H70 J70:N70 T70:X70 AD70:AG70 AI70:AL70 AN70:AO70 AR70:BC70 BH70:XFD70">
    <cfRule type="containsText" dxfId="6848" priority="5818" operator="containsText" text="ENTREGADO">
      <formula>NOT(ISERROR(SEARCH("ENTREGADO",C70)))</formula>
    </cfRule>
  </conditionalFormatting>
  <conditionalFormatting sqref="C70:H70 J70:O70 T70:X70 AD70:AG70 AI70:AL70 AN70:AO70 AR70:XFD70">
    <cfRule type="containsText" dxfId="6847" priority="5816" operator="containsText" text="PENDIENTE">
      <formula>NOT(ISERROR(SEARCH("PENDIENTE",C70)))</formula>
    </cfRule>
  </conditionalFormatting>
  <conditionalFormatting sqref="C70:H70 T70:X70 AD70:AG70 AI70:AL70 AN70:AO70 AR70:XFD70 J70:N70">
    <cfRule type="containsText" dxfId="6846" priority="5819" operator="containsText" text="PENDIENTE">
      <formula>NOT(ISERROR(SEARCH("PENDIENTE",#REF!)))</formula>
    </cfRule>
  </conditionalFormatting>
  <conditionalFormatting sqref="C79:H79 J79:N79 AR79:XFD79 AN79:AO79 AI79:AL79 AD79:AG79 T79:X79">
    <cfRule type="containsText" dxfId="6845" priority="1547" operator="containsText" text="ENTREGADO">
      <formula>NOT(ISERROR(SEARCH("ENTREGADO",C79)))</formula>
    </cfRule>
    <cfRule type="containsText" dxfId="6844" priority="1549" operator="containsText" text="PENDIENTE">
      <formula>NOT(ISERROR(SEARCH("PENDIENTE",#REF!)))</formula>
    </cfRule>
  </conditionalFormatting>
  <conditionalFormatting sqref="C79:H79 J79:N79 BH79:XFD79 AR79:BC79 AN79:AO79 AI79:AL79 AD79:AG79 T79:X79">
    <cfRule type="containsText" dxfId="6843" priority="1548" operator="containsText" text="ENTREGADO">
      <formula>NOT(ISERROR(SEARCH("ENTREGADO",C79)))</formula>
    </cfRule>
  </conditionalFormatting>
  <conditionalFormatting sqref="C79:H79 J79:O79 AR79:XFD79 AN79:AO79 AI79:AL79 AD79:AG79 T79:X79">
    <cfRule type="containsText" dxfId="6842" priority="1546" operator="containsText" text="PENDIENTE">
      <formula>NOT(ISERROR(SEARCH("PENDIENTE",C79)))</formula>
    </cfRule>
  </conditionalFormatting>
  <conditionalFormatting sqref="C79:H79">
    <cfRule type="containsText" dxfId="6841" priority="1453" operator="containsText" text="PRIORIDAD">
      <formula>NOT(ISERROR(SEARCH("PRIORIDAD",C79)))</formula>
    </cfRule>
  </conditionalFormatting>
  <conditionalFormatting sqref="D4 A4">
    <cfRule type="containsText" dxfId="6840" priority="18832" operator="containsText" text="ENTREGADO">
      <formula>NOT(ISERROR(SEARCH("ENTREGADO",A4)))</formula>
    </cfRule>
  </conditionalFormatting>
  <conditionalFormatting sqref="D4">
    <cfRule type="containsText" dxfId="6839" priority="18794" operator="containsText" text="ENTREGADO">
      <formula>NOT(ISERROR(SEARCH("ENTREGADO",D4)))</formula>
    </cfRule>
    <cfRule type="containsText" dxfId="6838" priority="18791" operator="containsText" text="ENTREGADO">
      <formula>NOT(ISERROR(SEARCH("ENTREGADO",D4)))</formula>
    </cfRule>
    <cfRule type="containsText" dxfId="6837" priority="18792" operator="containsText" text="PENDIENTE">
      <formula>NOT(ISERROR(SEARCH("PENDIENTE",#REF!)))</formula>
    </cfRule>
  </conditionalFormatting>
  <conditionalFormatting sqref="D5">
    <cfRule type="containsText" dxfId="6836" priority="15908" operator="containsText" text="ENTREGADO">
      <formula>NOT(ISERROR(SEARCH("ENTREGADO",D5)))</formula>
    </cfRule>
  </conditionalFormatting>
  <conditionalFormatting sqref="D6:D7">
    <cfRule type="containsText" dxfId="6835" priority="13930" operator="containsText" text="PENDIENTE">
      <formula>NOT(ISERROR(SEARCH("PENDIENTE",D6)))</formula>
    </cfRule>
    <cfRule type="containsText" dxfId="6834" priority="13934" operator="containsText" text="ENTREGADO">
      <formula>NOT(ISERROR(SEARCH("ENTREGADO",D6)))</formula>
    </cfRule>
  </conditionalFormatting>
  <conditionalFormatting sqref="D7">
    <cfRule type="containsText" dxfId="6833" priority="13932" operator="containsText" text="ENTREGADO">
      <formula>NOT(ISERROR(SEARCH("ENTREGADO",D7)))</formula>
    </cfRule>
    <cfRule type="containsText" dxfId="6832" priority="13933" operator="containsText" text="PRIORIDAD">
      <formula>NOT(ISERROR(SEARCH("PRIORIDAD",D7)))</formula>
    </cfRule>
    <cfRule type="containsText" dxfId="6831" priority="13925" operator="containsText" text="ENTREGADO">
      <formula>NOT(ISERROR(SEARCH("ENTREGADO",D7)))</formula>
    </cfRule>
    <cfRule type="containsText" dxfId="6830" priority="13924" operator="containsText" text="ENTREGADO">
      <formula>NOT(ISERROR(SEARCH("ENTREGADO",#REF!)))</formula>
    </cfRule>
    <cfRule type="containsText" dxfId="6829" priority="13929" operator="containsText" text="PENDIENTE">
      <formula>NOT(ISERROR(SEARCH("PENDIENTE",#REF!)))</formula>
    </cfRule>
  </conditionalFormatting>
  <conditionalFormatting sqref="D8:D17 P11">
    <cfRule type="containsText" dxfId="6828" priority="8117" operator="containsText" text="ENTREGADO">
      <formula>NOT(ISERROR(SEARCH("ENTREGADO",D8)))</formula>
    </cfRule>
  </conditionalFormatting>
  <conditionalFormatting sqref="D18">
    <cfRule type="containsText" dxfId="6827" priority="10390" operator="containsText" text="ENTREGADO">
      <formula>NOT(ISERROR(SEARCH("ENTREGADO",D18)))</formula>
    </cfRule>
  </conditionalFormatting>
  <conditionalFormatting sqref="D19">
    <cfRule type="containsText" dxfId="6826" priority="14460" operator="containsText" text="ENTREGADO">
      <formula>NOT(ISERROR(SEARCH("ENTREGADO",D19)))</formula>
    </cfRule>
  </conditionalFormatting>
  <conditionalFormatting sqref="D20">
    <cfRule type="containsText" dxfId="6825" priority="13791" operator="containsText" text="ENTREGADO">
      <formula>NOT(ISERROR(SEARCH("ENTREGADO",D20)))</formula>
    </cfRule>
  </conditionalFormatting>
  <conditionalFormatting sqref="D21">
    <cfRule type="containsText" dxfId="6824" priority="12720" operator="containsText" text="ENTREGADO">
      <formula>NOT(ISERROR(SEARCH("ENTREGADO",D21)))</formula>
    </cfRule>
  </conditionalFormatting>
  <conditionalFormatting sqref="D22">
    <cfRule type="containsText" dxfId="6823" priority="10779" operator="containsText" text="ENTREGADO">
      <formula>NOT(ISERROR(SEARCH("ENTREGADO",D22)))</formula>
    </cfRule>
  </conditionalFormatting>
  <conditionalFormatting sqref="D23">
    <cfRule type="containsText" dxfId="6822" priority="6908" operator="containsText" text="ENTREGADO">
      <formula>NOT(ISERROR(SEARCH("ENTREGADO",D23)))</formula>
    </cfRule>
  </conditionalFormatting>
  <conditionalFormatting sqref="D33">
    <cfRule type="containsText" dxfId="6821" priority="5942" operator="containsText" text="PENDIENTE">
      <formula>NOT(ISERROR(SEARCH("PENDIENTE",D33)))</formula>
    </cfRule>
  </conditionalFormatting>
  <conditionalFormatting sqref="D3:E3 T24:X24 A3 AD24:AG24 AI24:AL24 AN24:AO24 AR24:BG24 A24:A26 K24:N26 BH24:XFD26 C24:D30 B24:B32 BD27:BG32 BD34:BG38 C57:D58 F57:H58 F71 AI27:AL27 AI28:AO28 AR27:AW28 AD27:AG28 S24:S27 B34:B35 J57:N58 AR71:XFD71 AN71:AO71 AI71:AL71 AD71:AG71 F24:H26 C62:H69 J62:N69 AR62:XFD69 AN62:AO69 AI62:AL69 AD62:AG69 T62:X69">
    <cfRule type="containsText" dxfId="6820" priority="21177" operator="containsText" text="ENTREGADO">
      <formula>NOT(ISERROR(SEARCH("ENTREGADO",A3)))</formula>
    </cfRule>
  </conditionalFormatting>
  <conditionalFormatting sqref="D3:E3">
    <cfRule type="containsText" dxfId="6819" priority="21176" operator="containsText" text="PENDIENTE">
      <formula>NOT(ISERROR(SEARCH("PENDIENTE",D3)))</formula>
    </cfRule>
  </conditionalFormatting>
  <conditionalFormatting sqref="D4:E4 G4:N4">
    <cfRule type="containsText" dxfId="6818" priority="18829" operator="containsText" text="ENTREGADO">
      <formula>NOT(ISERROR(SEARCH("ENTREGADO",#REF!)))</formula>
    </cfRule>
  </conditionalFormatting>
  <conditionalFormatting sqref="D4:E4">
    <cfRule type="containsText" dxfId="6817" priority="18788" operator="containsText" text="ENTREGADO">
      <formula>NOT(ISERROR(SEARCH("ENTREGADO",#REF!)))</formula>
    </cfRule>
    <cfRule type="containsText" dxfId="6816" priority="18793" operator="containsText" text="PENDIENTE">
      <formula>NOT(ISERROR(SEARCH("PENDIENTE",D4)))</formula>
    </cfRule>
  </conditionalFormatting>
  <conditionalFormatting sqref="D5:E5 G5:I5 BH4:XFD5 T5:X5">
    <cfRule type="containsText" dxfId="6815" priority="15906" operator="containsText" text="PENDIENTE">
      <formula>NOT(ISERROR(SEARCH("PENDIENTE",D4)))</formula>
    </cfRule>
  </conditionalFormatting>
  <conditionalFormatting sqref="E2:E3 A3 P3 T3 BH3:XFD3">
    <cfRule type="containsText" dxfId="6814" priority="21190" operator="containsText" text="ENTREGADO">
      <formula>NOT(ISERROR(SEARCH("ENTREGADO",A2)))</formula>
    </cfRule>
  </conditionalFormatting>
  <conditionalFormatting sqref="E2:E3 A3 T3 BH3:XFD3 P3">
    <cfRule type="containsText" dxfId="6813" priority="21189" operator="containsText" text="PRIORIDAD">
      <formula>NOT(ISERROR(SEARCH("PRIORIDAD",A2)))</formula>
    </cfRule>
  </conditionalFormatting>
  <conditionalFormatting sqref="E2:E3 A3 T3 BH3:XFD3">
    <cfRule type="containsText" dxfId="6812" priority="21184" operator="containsText" text="PENDIENTE">
      <formula>NOT(ISERROR(SEARCH("PENDIENTE",A2)))</formula>
    </cfRule>
  </conditionalFormatting>
  <conditionalFormatting sqref="E4">
    <cfRule type="containsText" dxfId="6811" priority="18826" operator="containsText" text="PENDIENTE">
      <formula>NOT(ISERROR(SEARCH("PENDIENTE",#REF!)))</formula>
    </cfRule>
    <cfRule type="containsText" dxfId="6810" priority="18825" operator="containsText" text="ENTREGADO">
      <formula>NOT(ISERROR(SEARCH("ENTREGADO",E4)))</formula>
    </cfRule>
    <cfRule type="containsText" dxfId="6809" priority="18824" operator="containsText" text="ENTREGADO">
      <formula>NOT(ISERROR(SEARCH("ENTREGADO",E4)))</formula>
    </cfRule>
    <cfRule type="containsText" dxfId="6808" priority="18823" operator="containsText" text="PENDIENTE">
      <formula>NOT(ISERROR(SEARCH("PENDIENTE",E4)))</formula>
    </cfRule>
    <cfRule type="containsText" dxfId="6807" priority="18842" operator="containsText" text="ENTREGADO">
      <formula>NOT(ISERROR(SEARCH("ENTREGADO",E4)))</formula>
    </cfRule>
    <cfRule type="containsText" dxfId="6806" priority="18844" operator="containsText" text="PENDIENTE">
      <formula>NOT(ISERROR(SEARCH("PENDIENTE",#REF!)))</formula>
    </cfRule>
    <cfRule type="containsText" dxfId="6805" priority="18843" operator="containsText" text="ENTREGADO">
      <formula>NOT(ISERROR(SEARCH("ENTREGADO",E4)))</formula>
    </cfRule>
    <cfRule type="containsText" dxfId="6804" priority="18841" operator="containsText" text="PENDIENTE">
      <formula>NOT(ISERROR(SEARCH("PENDIENTE",E4)))</formula>
    </cfRule>
  </conditionalFormatting>
  <conditionalFormatting sqref="E5 G5:I5 P5 T5:X5 BH5:XFD5">
    <cfRule type="containsText" dxfId="6803" priority="15913" operator="containsText" text="ENTREGADO">
      <formula>NOT(ISERROR(SEARCH("ENTREGADO",E5)))</formula>
    </cfRule>
  </conditionalFormatting>
  <conditionalFormatting sqref="E5 G5:I5 T5:X5 BH5:XFD5 P5">
    <cfRule type="containsText" dxfId="6802" priority="15912" operator="containsText" text="PRIORIDAD">
      <formula>NOT(ISERROR(SEARCH("PRIORIDAD",E5)))</formula>
    </cfRule>
  </conditionalFormatting>
  <conditionalFormatting sqref="E5">
    <cfRule type="containsText" dxfId="6801" priority="15909" operator="containsText" text="PENDIENTE">
      <formula>NOT(ISERROR(SEARCH("PENDIENTE",#REF!)))</formula>
    </cfRule>
    <cfRule type="containsText" dxfId="6800" priority="15904" operator="containsText" text="ENTREGADO">
      <formula>NOT(ISERROR(SEARCH("ENTREGADO",E5)))</formula>
    </cfRule>
    <cfRule type="containsText" dxfId="6799" priority="15903" operator="containsText" text="ENTREGADO">
      <formula>NOT(ISERROR(SEARCH("ENTREGADO",E5)))</formula>
    </cfRule>
    <cfRule type="containsText" dxfId="6798" priority="15902" operator="containsText" text="PENDIENTE">
      <formula>NOT(ISERROR(SEARCH("PENDIENTE",E5)))</formula>
    </cfRule>
  </conditionalFormatting>
  <conditionalFormatting sqref="E6:E7 A19 G6:I6 C7 G7:H7 G19:H19 AX7:BC7 AX19:BC19 T6:X6 BH6:XFD7 T7 T19 BH19:XFD19">
    <cfRule type="containsText" dxfId="6797" priority="14458" operator="containsText" text="PENDIENTE">
      <formula>NOT(ISERROR(SEARCH("PENDIENTE",A6)))</formula>
    </cfRule>
  </conditionalFormatting>
  <conditionalFormatting sqref="E6:E7 A19">
    <cfRule type="containsText" dxfId="6796" priority="14456" operator="containsText" text="ENTREGADO">
      <formula>NOT(ISERROR(SEARCH("ENTREGADO",A6)))</formula>
    </cfRule>
    <cfRule type="containsText" dxfId="6795" priority="14455" operator="containsText" text="ENTREGADO">
      <formula>NOT(ISERROR(SEARCH("ENTREGADO",A6)))</formula>
    </cfRule>
    <cfRule type="containsText" dxfId="6794" priority="14454" operator="containsText" text="PENDIENTE">
      <formula>NOT(ISERROR(SEARCH("PENDIENTE",A6)))</formula>
    </cfRule>
  </conditionalFormatting>
  <conditionalFormatting sqref="E6:E7">
    <cfRule type="containsText" dxfId="6793" priority="14461" operator="containsText" text="PENDIENTE">
      <formula>NOT(ISERROR(SEARCH("PENDIENTE",#REF!)))</formula>
    </cfRule>
  </conditionalFormatting>
  <conditionalFormatting sqref="E8">
    <cfRule type="containsText" dxfId="6792" priority="7950" operator="containsText" text="PENDIENTE">
      <formula>NOT(ISERROR(SEARCH("PENDIENTE",#REF!)))</formula>
    </cfRule>
    <cfRule type="containsText" dxfId="6791" priority="7949" operator="containsText" text="PENDIENTE">
      <formula>NOT(ISERROR(SEARCH("PENDIENTE",E8)))</formula>
    </cfRule>
    <cfRule type="containsText" dxfId="6790" priority="7947" operator="containsText" text="ENTREGADO">
      <formula>NOT(ISERROR(SEARCH("ENTREGADO",E8)))</formula>
    </cfRule>
    <cfRule type="containsText" dxfId="6789" priority="7948" operator="containsText" text="ENTREGADO">
      <formula>NOT(ISERROR(SEARCH("ENTREGADO",E8)))</formula>
    </cfRule>
    <cfRule type="containsText" dxfId="6788" priority="7945" operator="containsText" text="ENTREGADO">
      <formula>NOT(ISERROR(SEARCH("ENTREGADO",#REF!)))</formula>
    </cfRule>
    <cfRule type="containsText" dxfId="6787" priority="7951" operator="containsText" text="PRIORIDAD">
      <formula>NOT(ISERROR(SEARCH("PRIORIDAD",E8)))</formula>
    </cfRule>
    <cfRule type="containsText" dxfId="6786" priority="7946" operator="containsText" text="PENDIENTE">
      <formula>NOT(ISERROR(SEARCH("PENDIENTE",E8)))</formula>
    </cfRule>
    <cfRule type="containsText" dxfId="6785" priority="7952" operator="containsText" text="ENTREGADO">
      <formula>NOT(ISERROR(SEARCH("ENTREGADO",E8)))</formula>
    </cfRule>
  </conditionalFormatting>
  <conditionalFormatting sqref="E9:E33">
    <cfRule type="containsText" dxfId="6784" priority="4871" operator="containsText" text="PENDIENTE">
      <formula>NOT(ISERROR(SEARCH("PENDIENTE",E9)))</formula>
    </cfRule>
    <cfRule type="containsText" dxfId="6783" priority="4875" operator="containsText" text="PENDIENTE">
      <formula>NOT(ISERROR(SEARCH("PENDIENTE",#REF!)))</formula>
    </cfRule>
    <cfRule type="containsText" dxfId="6782" priority="4870" operator="containsText" text="ENTREGADO">
      <formula>NOT(ISERROR(SEARCH("ENTREGADO",#REF!)))</formula>
    </cfRule>
    <cfRule type="containsText" dxfId="6781" priority="4876" operator="containsText" text="PRIORIDAD">
      <formula>NOT(ISERROR(SEARCH("PRIORIDAD",E9)))</formula>
    </cfRule>
    <cfRule type="containsText" dxfId="6780" priority="4877" operator="containsText" text="ENTREGADO">
      <formula>NOT(ISERROR(SEARCH("ENTREGADO",E9)))</formula>
    </cfRule>
    <cfRule type="containsText" dxfId="6779" priority="4874" operator="containsText" text="PENDIENTE">
      <formula>NOT(ISERROR(SEARCH("PENDIENTE",E9)))</formula>
    </cfRule>
    <cfRule type="containsText" dxfId="6778" priority="4873" operator="containsText" text="ENTREGADO">
      <formula>NOT(ISERROR(SEARCH("ENTREGADO",E9)))</formula>
    </cfRule>
    <cfRule type="containsText" dxfId="6777" priority="4872" operator="containsText" text="ENTREGADO">
      <formula>NOT(ISERROR(SEARCH("ENTREGADO",E9)))</formula>
    </cfRule>
  </conditionalFormatting>
  <conditionalFormatting sqref="E39">
    <cfRule type="containsText" dxfId="6776" priority="3982" operator="containsText" text="ENTREGADO">
      <formula>NOT(ISERROR(SEARCH("ENTREGADO",E39)))</formula>
    </cfRule>
    <cfRule type="containsText" dxfId="6775" priority="3976" operator="containsText" text="PENDIENTE">
      <formula>NOT(ISERROR(SEARCH("PENDIENTE",E39)))</formula>
    </cfRule>
    <cfRule type="containsText" dxfId="6774" priority="3977" operator="containsText" text="ENTREGADO">
      <formula>NOT(ISERROR(SEARCH("ENTREGADO",E39)))</formula>
    </cfRule>
    <cfRule type="containsText" dxfId="6773" priority="3979" operator="containsText" text="PENDIENTE">
      <formula>NOT(ISERROR(SEARCH("PENDIENTE",E39)))</formula>
    </cfRule>
    <cfRule type="containsText" dxfId="6772" priority="3975" operator="containsText" text="ENTREGADO">
      <formula>NOT(ISERROR(SEARCH("ENTREGADO",#REF!)))</formula>
    </cfRule>
    <cfRule type="containsText" dxfId="6771" priority="3980" operator="containsText" text="PENDIENTE">
      <formula>NOT(ISERROR(SEARCH("PENDIENTE",#REF!)))</formula>
    </cfRule>
    <cfRule type="containsText" dxfId="6770" priority="3978" operator="containsText" text="ENTREGADO">
      <formula>NOT(ISERROR(SEARCH("ENTREGADO",E39)))</formula>
    </cfRule>
  </conditionalFormatting>
  <conditionalFormatting sqref="E40">
    <cfRule type="containsText" dxfId="6769" priority="7302" operator="containsText" text="PENDIENTE">
      <formula>NOT(ISERROR(SEARCH("PENDIENTE",E40)))</formula>
    </cfRule>
    <cfRule type="containsText" dxfId="6768" priority="7303" operator="containsText" text="ENTREGADO">
      <formula>NOT(ISERROR(SEARCH("ENTREGADO",E40)))</formula>
    </cfRule>
    <cfRule type="containsText" dxfId="6767" priority="7304" operator="containsText" text="ENTREGADO">
      <formula>NOT(ISERROR(SEARCH("ENTREGADO",E40)))</formula>
    </cfRule>
  </conditionalFormatting>
  <conditionalFormatting sqref="E41">
    <cfRule type="containsText" dxfId="6766" priority="3752" operator="containsText" text="ENTREGADO">
      <formula>NOT(ISERROR(SEARCH("ENTREGADO",#REF!)))</formula>
    </cfRule>
    <cfRule type="containsText" dxfId="6765" priority="3918" operator="containsText" text="ENTREGADO">
      <formula>NOT(ISERROR(SEARCH("ENTREGADO",E41)))</formula>
    </cfRule>
    <cfRule type="containsText" dxfId="6764" priority="3917" operator="containsText" text="ENTREGADO">
      <formula>NOT(ISERROR(SEARCH("ENTREGADO",E41)))</formula>
    </cfRule>
  </conditionalFormatting>
  <conditionalFormatting sqref="E42:E45 A57 A62 E34:E38">
    <cfRule type="containsText" dxfId="6763" priority="27193" operator="containsText" text="ENTREGADO">
      <formula>NOT(ISERROR(SEARCH("ENTREGADO",A34)))</formula>
    </cfRule>
  </conditionalFormatting>
  <conditionalFormatting sqref="E42:E45 A57 E34:E38">
    <cfRule type="containsText" dxfId="6762" priority="27192" operator="containsText" text="ENTREGADO">
      <formula>NOT(ISERROR(SEARCH("ENTREGADO",A34)))</formula>
    </cfRule>
  </conditionalFormatting>
  <conditionalFormatting sqref="E42:E45">
    <cfRule type="containsText" dxfId="6761" priority="27191" operator="containsText" text="PENDIENTE">
      <formula>NOT(ISERROR(SEARCH("PENDIENTE",E42)))</formula>
    </cfRule>
  </conditionalFormatting>
  <conditionalFormatting sqref="E46:E49 BD46:BG49">
    <cfRule type="containsText" dxfId="6760" priority="4444" operator="containsText" text="PRIORIDAD">
      <formula>NOT(ISERROR(SEARCH("PRIORIDAD",E46)))</formula>
    </cfRule>
  </conditionalFormatting>
  <conditionalFormatting sqref="E46:E49">
    <cfRule type="containsText" dxfId="6759" priority="4441" operator="containsText" text="ENTREGADO">
      <formula>NOT(ISERROR(SEARCH("ENTREGADO",E46)))</formula>
    </cfRule>
    <cfRule type="containsText" dxfId="6758" priority="4442" operator="containsText" text="ENTREGADO">
      <formula>NOT(ISERROR(SEARCH("ENTREGADO",E46)))</formula>
    </cfRule>
    <cfRule type="containsText" dxfId="6757" priority="4440" operator="containsText" text="PENDIENTE">
      <formula>NOT(ISERROR(SEARCH("PENDIENTE",E46)))</formula>
    </cfRule>
  </conditionalFormatting>
  <conditionalFormatting sqref="E50">
    <cfRule type="containsText" dxfId="6756" priority="9133" operator="containsText" text="ENTREGADO">
      <formula>NOT(ISERROR(SEARCH("ENTREGADO",E50)))</formula>
    </cfRule>
    <cfRule type="containsText" dxfId="6755" priority="9137" operator="containsText" text="ENTREGADO">
      <formula>NOT(ISERROR(SEARCH("ENTREGADO",E50)))</formula>
    </cfRule>
    <cfRule type="containsText" dxfId="6754" priority="9132" operator="containsText" text="PENDIENTE">
      <formula>NOT(ISERROR(SEARCH("PENDIENTE",E50)))</formula>
    </cfRule>
    <cfRule type="containsText" dxfId="6753" priority="9131" operator="containsText" text="ENTREGADO">
      <formula>NOT(ISERROR(SEARCH("ENTREGADO",#REF!)))</formula>
    </cfRule>
    <cfRule type="containsText" dxfId="6752" priority="9130" operator="containsText" text="PENDIENTE">
      <formula>NOT(ISERROR(SEARCH("PENDIENTE",#REF!)))</formula>
    </cfRule>
    <cfRule type="containsText" dxfId="6751" priority="9136" operator="containsText" text="PRIORIDAD">
      <formula>NOT(ISERROR(SEARCH("PRIORIDAD",E50)))</formula>
    </cfRule>
    <cfRule type="containsText" dxfId="6750" priority="9135" operator="containsText" text="PENDIENTE">
      <formula>NOT(ISERROR(SEARCH("PENDIENTE",E50)))</formula>
    </cfRule>
    <cfRule type="containsText" dxfId="6749" priority="9134" operator="containsText" text="ENTREGADO">
      <formula>NOT(ISERROR(SEARCH("ENTREGADO",E50)))</formula>
    </cfRule>
  </conditionalFormatting>
  <conditionalFormatting sqref="E51:E53 E57">
    <cfRule type="containsText" dxfId="6748" priority="9493" operator="containsText" text="PENDIENTE">
      <formula>NOT(ISERROR(SEARCH("PENDIENTE",E51)))</formula>
    </cfRule>
    <cfRule type="containsText" dxfId="6747" priority="9492" operator="containsText" text="ENTREGADO">
      <formula>NOT(ISERROR(SEARCH("ENTREGADO",E51)))</formula>
    </cfRule>
    <cfRule type="containsText" dxfId="6746" priority="9491" operator="containsText" text="ENTREGADO">
      <formula>NOT(ISERROR(SEARCH("ENTREGADO",E51)))</formula>
    </cfRule>
    <cfRule type="containsText" dxfId="6745" priority="9490" operator="containsText" text="PENDIENTE">
      <formula>NOT(ISERROR(SEARCH("PENDIENTE",E51)))</formula>
    </cfRule>
    <cfRule type="containsText" dxfId="6744" priority="9494" operator="containsText" text="PRIORIDAD">
      <formula>NOT(ISERROR(SEARCH("PRIORIDAD",E51)))</formula>
    </cfRule>
    <cfRule type="containsText" dxfId="6743" priority="9489" operator="containsText" text="ENTREGADO">
      <formula>NOT(ISERROR(SEARCH("ENTREGADO",#REF!)))</formula>
    </cfRule>
  </conditionalFormatting>
  <conditionalFormatting sqref="E51:E53 E57:E58">
    <cfRule type="containsText" dxfId="6742" priority="9009" operator="containsText" text="PENDIENTE">
      <formula>NOT(ISERROR(SEARCH("PENDIENTE",#REF!)))</formula>
    </cfRule>
  </conditionalFormatting>
  <conditionalFormatting sqref="E53">
    <cfRule type="containsText" dxfId="6741" priority="222" operator="containsText" text="ENTREGADO">
      <formula>NOT(ISERROR(SEARCH("ENTREGADO",#REF!)))</formula>
    </cfRule>
    <cfRule type="containsText" dxfId="6740" priority="228" operator="containsText" text="ENTREGADO">
      <formula>NOT(ISERROR(SEARCH("ENTREGADO",E53)))</formula>
    </cfRule>
    <cfRule type="containsText" dxfId="6739" priority="227" operator="containsText" text="PRIORIDAD">
      <formula>NOT(ISERROR(SEARCH("PRIORIDAD",E53)))</formula>
    </cfRule>
    <cfRule type="containsText" dxfId="6738" priority="223" operator="containsText" text="PENDIENTE">
      <formula>NOT(ISERROR(SEARCH("PENDIENTE",E53)))</formula>
    </cfRule>
    <cfRule type="containsText" dxfId="6737" priority="221" operator="containsText" text="PENDIENTE">
      <formula>NOT(ISERROR(SEARCH("PENDIENTE",#REF!)))</formula>
    </cfRule>
    <cfRule type="containsText" dxfId="6736" priority="224" operator="containsText" text="ENTREGADO">
      <formula>NOT(ISERROR(SEARCH("ENTREGADO",E53)))</formula>
    </cfRule>
    <cfRule type="containsText" dxfId="6735" priority="225" operator="containsText" text="ENTREGADO">
      <formula>NOT(ISERROR(SEARCH("ENTREGADO",E53)))</formula>
    </cfRule>
    <cfRule type="containsText" dxfId="6734" priority="226" operator="containsText" text="PENDIENTE">
      <formula>NOT(ISERROR(SEARCH("PENDIENTE",E53)))</formula>
    </cfRule>
  </conditionalFormatting>
  <conditionalFormatting sqref="E54">
    <cfRule type="containsText" dxfId="6733" priority="7774" operator="containsText" text="ENTREGADO">
      <formula>NOT(ISERROR(SEARCH("ENTREGADO",#REF!)))</formula>
    </cfRule>
    <cfRule type="containsText" dxfId="6732" priority="7779" operator="containsText" text="PRIORIDAD">
      <formula>NOT(ISERROR(SEARCH("PRIORIDAD",E54)))</formula>
    </cfRule>
    <cfRule type="containsText" dxfId="6731" priority="7777" operator="containsText" text="ENTREGADO">
      <formula>NOT(ISERROR(SEARCH("ENTREGADO",E54)))</formula>
    </cfRule>
    <cfRule type="containsText" dxfId="6730" priority="7773" operator="containsText" text="PENDIENTE">
      <formula>NOT(ISERROR(SEARCH("PENDIENTE",#REF!)))</formula>
    </cfRule>
    <cfRule type="containsText" dxfId="6729" priority="7780" operator="containsText" text="ENTREGADO">
      <formula>NOT(ISERROR(SEARCH("ENTREGADO",E54)))</formula>
    </cfRule>
    <cfRule type="containsText" dxfId="6728" priority="7775" operator="containsText" text="PENDIENTE">
      <formula>NOT(ISERROR(SEARCH("PENDIENTE",E54)))</formula>
    </cfRule>
    <cfRule type="containsText" dxfId="6727" priority="7776" operator="containsText" text="ENTREGADO">
      <formula>NOT(ISERROR(SEARCH("ENTREGADO",E54)))</formula>
    </cfRule>
    <cfRule type="containsText" dxfId="6726" priority="7778" operator="containsText" text="PENDIENTE">
      <formula>NOT(ISERROR(SEARCH("PENDIENTE",E54)))</formula>
    </cfRule>
  </conditionalFormatting>
  <conditionalFormatting sqref="E55">
    <cfRule type="containsText" dxfId="6725" priority="601" operator="containsText" text="ENTREGADO">
      <formula>NOT(ISERROR(SEARCH("ENTREGADO",#REF!)))</formula>
    </cfRule>
    <cfRule type="containsText" dxfId="6724" priority="602" operator="containsText" text="PENDIENTE">
      <formula>NOT(ISERROR(SEARCH("PENDIENTE",E55)))</formula>
    </cfRule>
    <cfRule type="containsText" dxfId="6723" priority="603" operator="containsText" text="ENTREGADO">
      <formula>NOT(ISERROR(SEARCH("ENTREGADO",E55)))</formula>
    </cfRule>
    <cfRule type="containsText" dxfId="6722" priority="604" operator="containsText" text="ENTREGADO">
      <formula>NOT(ISERROR(SEARCH("ENTREGADO",E55)))</formula>
    </cfRule>
    <cfRule type="containsText" dxfId="6721" priority="605" operator="containsText" text="PENDIENTE">
      <formula>NOT(ISERROR(SEARCH("PENDIENTE",E55)))</formula>
    </cfRule>
    <cfRule type="containsText" dxfId="6720" priority="594" operator="containsText" text="PENDIENTE">
      <formula>NOT(ISERROR(SEARCH("PENDIENTE",#REF!)))</formula>
    </cfRule>
    <cfRule type="containsText" dxfId="6719" priority="606" operator="containsText" text="PRIORIDAD">
      <formula>NOT(ISERROR(SEARCH("PRIORIDAD",E55)))</formula>
    </cfRule>
  </conditionalFormatting>
  <conditionalFormatting sqref="E56">
    <cfRule type="containsText" dxfId="6718" priority="6946" operator="containsText" text="PENDIENTE">
      <formula>NOT(ISERROR(SEARCH("PENDIENTE",#REF!)))</formula>
    </cfRule>
    <cfRule type="containsText" dxfId="6717" priority="6955" operator="containsText" text="ENTREGADO">
      <formula>NOT(ISERROR(SEARCH("ENTREGADO",#REF!)))</formula>
    </cfRule>
    <cfRule type="containsText" dxfId="6716" priority="6956" operator="containsText" text="PENDIENTE">
      <formula>NOT(ISERROR(SEARCH("PENDIENTE",E56)))</formula>
    </cfRule>
    <cfRule type="containsText" dxfId="6715" priority="6957" operator="containsText" text="ENTREGADO">
      <formula>NOT(ISERROR(SEARCH("ENTREGADO",E56)))</formula>
    </cfRule>
    <cfRule type="containsText" dxfId="6714" priority="6958" operator="containsText" text="ENTREGADO">
      <formula>NOT(ISERROR(SEARCH("ENTREGADO",E56)))</formula>
    </cfRule>
    <cfRule type="containsText" dxfId="6713" priority="6960" operator="containsText" text="PRIORIDAD">
      <formula>NOT(ISERROR(SEARCH("PRIORIDAD",E56)))</formula>
    </cfRule>
    <cfRule type="containsText" dxfId="6712" priority="6959" operator="containsText" text="PENDIENTE">
      <formula>NOT(ISERROR(SEARCH("PENDIENTE",E56)))</formula>
    </cfRule>
  </conditionalFormatting>
  <conditionalFormatting sqref="E58">
    <cfRule type="containsText" dxfId="6711" priority="9011" operator="containsText" text="PENDIENTE">
      <formula>NOT(ISERROR(SEARCH("PENDIENTE",E58)))</formula>
    </cfRule>
    <cfRule type="containsText" dxfId="6710" priority="9012" operator="containsText" text="ENTREGADO">
      <formula>NOT(ISERROR(SEARCH("ENTREGADO",E58)))</formula>
    </cfRule>
    <cfRule type="containsText" dxfId="6709" priority="9015" operator="containsText" text="PRIORIDAD">
      <formula>NOT(ISERROR(SEARCH("PRIORIDAD",E58)))</formula>
    </cfRule>
    <cfRule type="containsText" dxfId="6708" priority="9013" operator="containsText" text="ENTREGADO">
      <formula>NOT(ISERROR(SEARCH("ENTREGADO",E58)))</formula>
    </cfRule>
    <cfRule type="containsText" dxfId="6707" priority="9010" operator="containsText" text="ENTREGADO">
      <formula>NOT(ISERROR(SEARCH("ENTREGADO",#REF!)))</formula>
    </cfRule>
  </conditionalFormatting>
  <conditionalFormatting sqref="E59">
    <cfRule type="containsText" dxfId="6706" priority="3509" operator="containsText" text="PRIORIDAD">
      <formula>NOT(ISERROR(SEARCH("PRIORIDAD",E59)))</formula>
    </cfRule>
    <cfRule type="containsText" dxfId="6705" priority="3504" operator="containsText" text="ENTREGADO">
      <formula>NOT(ISERROR(SEARCH("ENTREGADO",#REF!)))</formula>
    </cfRule>
    <cfRule type="containsText" dxfId="6704" priority="3503" operator="containsText" text="PENDIENTE">
      <formula>NOT(ISERROR(SEARCH("PENDIENTE",#REF!)))</formula>
    </cfRule>
    <cfRule type="containsText" dxfId="6703" priority="3505" operator="containsText" text="PENDIENTE">
      <formula>NOT(ISERROR(SEARCH("PENDIENTE",E59)))</formula>
    </cfRule>
    <cfRule type="containsText" dxfId="6702" priority="3506" operator="containsText" text="ENTREGADO">
      <formula>NOT(ISERROR(SEARCH("ENTREGADO",E59)))</formula>
    </cfRule>
    <cfRule type="containsText" dxfId="6701" priority="3507" operator="containsText" text="ENTREGADO">
      <formula>NOT(ISERROR(SEARCH("ENTREGADO",E59)))</formula>
    </cfRule>
  </conditionalFormatting>
  <conditionalFormatting sqref="E60">
    <cfRule type="containsText" dxfId="6700" priority="4671" operator="containsText" text="ENTREGADO">
      <formula>NOT(ISERROR(SEARCH("ENTREGADO",#REF!)))</formula>
    </cfRule>
    <cfRule type="containsText" dxfId="6699" priority="4670" operator="containsText" text="PENDIENTE">
      <formula>NOT(ISERROR(SEARCH("PENDIENTE",#REF!)))</formula>
    </cfRule>
    <cfRule type="containsText" dxfId="6698" priority="4676" operator="containsText" text="PRIORIDAD">
      <formula>NOT(ISERROR(SEARCH("PRIORIDAD",E60)))</formula>
    </cfRule>
    <cfRule type="containsText" dxfId="6697" priority="4674" operator="containsText" text="ENTREGADO">
      <formula>NOT(ISERROR(SEARCH("ENTREGADO",E60)))</formula>
    </cfRule>
    <cfRule type="containsText" dxfId="6696" priority="4673" operator="containsText" text="ENTREGADO">
      <formula>NOT(ISERROR(SEARCH("ENTREGADO",E60)))</formula>
    </cfRule>
    <cfRule type="containsText" dxfId="6695" priority="4672" operator="containsText" text="PENDIENTE">
      <formula>NOT(ISERROR(SEARCH("PENDIENTE",E60)))</formula>
    </cfRule>
  </conditionalFormatting>
  <conditionalFormatting sqref="E61">
    <cfRule type="containsText" dxfId="6694" priority="4537" operator="containsText" text="PRIORIDAD">
      <formula>NOT(ISERROR(SEARCH("PRIORIDAD",E61)))</formula>
    </cfRule>
    <cfRule type="containsText" dxfId="6693" priority="4535" operator="containsText" text="ENTREGADO">
      <formula>NOT(ISERROR(SEARCH("ENTREGADO",E61)))</formula>
    </cfRule>
    <cfRule type="containsText" dxfId="6692" priority="4534" operator="containsText" text="ENTREGADO">
      <formula>NOT(ISERROR(SEARCH("ENTREGADO",E61)))</formula>
    </cfRule>
    <cfRule type="containsText" dxfId="6691" priority="4533" operator="containsText" text="PENDIENTE">
      <formula>NOT(ISERROR(SEARCH("PENDIENTE",E61)))</formula>
    </cfRule>
    <cfRule type="containsText" dxfId="6690" priority="4531" operator="containsText" text="PENDIENTE">
      <formula>NOT(ISERROR(SEARCH("PENDIENTE",#REF!)))</formula>
    </cfRule>
    <cfRule type="containsText" dxfId="6689" priority="4532" operator="containsText" text="ENTREGADO">
      <formula>NOT(ISERROR(SEARCH("ENTREGADO",#REF!)))</formula>
    </cfRule>
  </conditionalFormatting>
  <conditionalFormatting sqref="E70">
    <cfRule type="containsText" dxfId="6688" priority="5813" operator="containsText" text="PENDIENTE">
      <formula>NOT(ISERROR(SEARCH("PENDIENTE",E70)))</formula>
    </cfRule>
    <cfRule type="containsText" dxfId="6687" priority="5812" operator="containsText" text="ENTREGADO">
      <formula>NOT(ISERROR(SEARCH("ENTREGADO",#REF!)))</formula>
    </cfRule>
  </conditionalFormatting>
  <conditionalFormatting sqref="E71 E62:E69">
    <cfRule type="containsText" dxfId="6686" priority="9771" operator="containsText" text="ENTREGADO">
      <formula>NOT(ISERROR(SEARCH("ENTREGADO",#REF!)))</formula>
    </cfRule>
    <cfRule type="containsText" dxfId="6685" priority="9772" operator="containsText" text="PENDIENTE">
      <formula>NOT(ISERROR(SEARCH("PENDIENTE",E62)))</formula>
    </cfRule>
  </conditionalFormatting>
  <conditionalFormatting sqref="E71">
    <cfRule type="containsText" dxfId="6684" priority="9777" operator="containsText" text="PRIORIDAD">
      <formula>NOT(ISERROR(SEARCH("PRIORIDAD",E71)))</formula>
    </cfRule>
    <cfRule type="containsText" dxfId="6683" priority="9773" operator="containsText" text="ENTREGADO">
      <formula>NOT(ISERROR(SEARCH("ENTREGADO",E71)))</formula>
    </cfRule>
    <cfRule type="containsText" dxfId="6682" priority="9774" operator="containsText" text="ENTREGADO">
      <formula>NOT(ISERROR(SEARCH("ENTREGADO",E71)))</formula>
    </cfRule>
  </conditionalFormatting>
  <conditionalFormatting sqref="E72">
    <cfRule type="containsText" dxfId="6681" priority="6695" operator="containsText" text="PRIORIDAD">
      <formula>NOT(ISERROR(SEARCH("PRIORIDAD",E72)))</formula>
    </cfRule>
    <cfRule type="containsText" dxfId="6680" priority="6691" operator="containsText" text="PENDIENTE">
      <formula>NOT(ISERROR(SEARCH("PENDIENTE",E72)))</formula>
    </cfRule>
    <cfRule type="containsText" dxfId="6679" priority="6692" operator="containsText" text="ENTREGADO">
      <formula>NOT(ISERROR(SEARCH("ENTREGADO",E72)))</formula>
    </cfRule>
    <cfRule type="containsText" dxfId="6678" priority="6693" operator="containsText" text="ENTREGADO">
      <formula>NOT(ISERROR(SEARCH("ENTREGADO",E72)))</formula>
    </cfRule>
    <cfRule type="containsText" dxfId="6677" priority="6690" operator="containsText" text="ENTREGADO">
      <formula>NOT(ISERROR(SEARCH("ENTREGADO",#REF!)))</formula>
    </cfRule>
  </conditionalFormatting>
  <conditionalFormatting sqref="E73">
    <cfRule type="containsText" dxfId="6676" priority="6565" operator="containsText" text="ENTREGADO">
      <formula>NOT(ISERROR(SEARCH("ENTREGADO",E73)))</formula>
    </cfRule>
    <cfRule type="containsText" dxfId="6675" priority="6564" operator="containsText" text="PENDIENTE">
      <formula>NOT(ISERROR(SEARCH("PENDIENTE",E73)))</formula>
    </cfRule>
    <cfRule type="containsText" dxfId="6674" priority="6563" operator="containsText" text="ENTREGADO">
      <formula>NOT(ISERROR(SEARCH("ENTREGADO",#REF!)))</formula>
    </cfRule>
    <cfRule type="containsText" dxfId="6673" priority="6568" operator="containsText" text="PRIORIDAD">
      <formula>NOT(ISERROR(SEARCH("PRIORIDAD",E73)))</formula>
    </cfRule>
    <cfRule type="containsText" dxfId="6672" priority="6566" operator="containsText" text="ENTREGADO">
      <formula>NOT(ISERROR(SEARCH("ENTREGADO",E73)))</formula>
    </cfRule>
  </conditionalFormatting>
  <conditionalFormatting sqref="E74">
    <cfRule type="containsText" dxfId="6671" priority="6438" operator="containsText" text="ENTREGADO">
      <formula>NOT(ISERROR(SEARCH("ENTREGADO",E74)))</formula>
    </cfRule>
    <cfRule type="containsText" dxfId="6670" priority="6437" operator="containsText" text="ENTREGADO">
      <formula>NOT(ISERROR(SEARCH("ENTREGADO",E74)))</formula>
    </cfRule>
    <cfRule type="containsText" dxfId="6669" priority="6440" operator="containsText" text="PRIORIDAD">
      <formula>NOT(ISERROR(SEARCH("PRIORIDAD",E74)))</formula>
    </cfRule>
    <cfRule type="containsText" dxfId="6668" priority="6435" operator="containsText" text="ENTREGADO">
      <formula>NOT(ISERROR(SEARCH("ENTREGADO",#REF!)))</formula>
    </cfRule>
    <cfRule type="containsText" dxfId="6667" priority="6436" operator="containsText" text="PENDIENTE">
      <formula>NOT(ISERROR(SEARCH("PENDIENTE",E74)))</formula>
    </cfRule>
  </conditionalFormatting>
  <conditionalFormatting sqref="E75">
    <cfRule type="containsText" dxfId="6666" priority="4813" operator="containsText" text="ENTREGADO">
      <formula>NOT(ISERROR(SEARCH("ENTREGADO",E75)))</formula>
    </cfRule>
    <cfRule type="containsText" dxfId="6665" priority="4809" operator="containsText" text="PENDIENTE">
      <formula>NOT(ISERROR(SEARCH("PENDIENTE",#REF!)))</formula>
    </cfRule>
    <cfRule type="containsText" dxfId="6664" priority="4815" operator="containsText" text="PRIORIDAD">
      <formula>NOT(ISERROR(SEARCH("PRIORIDAD",E75)))</formula>
    </cfRule>
    <cfRule type="containsText" dxfId="6663" priority="4810" operator="containsText" text="ENTREGADO">
      <formula>NOT(ISERROR(SEARCH("ENTREGADO",#REF!)))</formula>
    </cfRule>
    <cfRule type="containsText" dxfId="6662" priority="4811" operator="containsText" text="PENDIENTE">
      <formula>NOT(ISERROR(SEARCH("PENDIENTE",E75)))</formula>
    </cfRule>
    <cfRule type="containsText" dxfId="6661" priority="4812" operator="containsText" text="ENTREGADO">
      <formula>NOT(ISERROR(SEARCH("ENTREGADO",E75)))</formula>
    </cfRule>
  </conditionalFormatting>
  <conditionalFormatting sqref="E76 E80:E81 E83:E84">
    <cfRule type="containsText" dxfId="6660" priority="2921" operator="containsText" text="ENTREGADO">
      <formula>NOT(ISERROR(SEARCH("ENTREGADO",#REF!)))</formula>
    </cfRule>
    <cfRule type="containsText" dxfId="6659" priority="2923" operator="containsText" text="ENTREGADO">
      <formula>NOT(ISERROR(SEARCH("ENTREGADO",E76)))</formula>
    </cfRule>
    <cfRule type="containsText" dxfId="6658" priority="2924" operator="containsText" text="ENTREGADO">
      <formula>NOT(ISERROR(SEARCH("ENTREGADO",E76)))</formula>
    </cfRule>
    <cfRule type="containsText" dxfId="6657" priority="2920" operator="containsText" text="PENDIENTE">
      <formula>NOT(ISERROR(SEARCH("PENDIENTE",#REF!)))</formula>
    </cfRule>
    <cfRule type="containsText" dxfId="6656" priority="2922" operator="containsText" text="PENDIENTE">
      <formula>NOT(ISERROR(SEARCH("PENDIENTE",E76)))</formula>
    </cfRule>
    <cfRule type="containsText" dxfId="6655" priority="2926" operator="containsText" text="PRIORIDAD">
      <formula>NOT(ISERROR(SEARCH("PRIORIDAD",E76)))</formula>
    </cfRule>
  </conditionalFormatting>
  <conditionalFormatting sqref="E77">
    <cfRule type="containsText" dxfId="6654" priority="2060" operator="containsText" text="ENTREGADO">
      <formula>NOT(ISERROR(SEARCH("ENTREGADO",#REF!)))</formula>
    </cfRule>
    <cfRule type="containsText" dxfId="6653" priority="2168" operator="containsText" text="ENTREGADO">
      <formula>NOT(ISERROR(SEARCH("ENTREGADO",E77)))</formula>
    </cfRule>
    <cfRule type="containsText" dxfId="6652" priority="2167" operator="containsText" text="ENTREGADO">
      <formula>NOT(ISERROR(SEARCH("ENTREGADO",E77)))</formula>
    </cfRule>
  </conditionalFormatting>
  <conditionalFormatting sqref="E78">
    <cfRule type="containsText" dxfId="6651" priority="1619" operator="containsText" text="PENDIENTE">
      <formula>NOT(ISERROR(SEARCH("PENDIENTE",#REF!)))</formula>
    </cfRule>
    <cfRule type="containsText" dxfId="6650" priority="1623" operator="containsText" text="ENTREGADO">
      <formula>NOT(ISERROR(SEARCH("ENTREGADO",E78)))</formula>
    </cfRule>
    <cfRule type="containsText" dxfId="6649" priority="1622" operator="containsText" text="ENTREGADO">
      <formula>NOT(ISERROR(SEARCH("ENTREGADO",E78)))</formula>
    </cfRule>
    <cfRule type="containsText" dxfId="6648" priority="1621" operator="containsText" text="PENDIENTE">
      <formula>NOT(ISERROR(SEARCH("PENDIENTE",E78)))</formula>
    </cfRule>
    <cfRule type="containsText" dxfId="6647" priority="1620" operator="containsText" text="ENTREGADO">
      <formula>NOT(ISERROR(SEARCH("ENTREGADO",#REF!)))</formula>
    </cfRule>
    <cfRule type="containsText" dxfId="6646" priority="1625" operator="containsText" text="PRIORIDAD">
      <formula>NOT(ISERROR(SEARCH("PRIORIDAD",E78)))</formula>
    </cfRule>
  </conditionalFormatting>
  <conditionalFormatting sqref="E79">
    <cfRule type="containsText" dxfId="6645" priority="1542" operator="containsText" text="PENDIENTE">
      <formula>NOT(ISERROR(SEARCH("PENDIENTE",E79)))</formula>
    </cfRule>
    <cfRule type="containsText" dxfId="6644" priority="1541" operator="containsText" text="ENTREGADO">
      <formula>NOT(ISERROR(SEARCH("ENTREGADO",#REF!)))</formula>
    </cfRule>
  </conditionalFormatting>
  <conditionalFormatting sqref="E82">
    <cfRule type="containsText" dxfId="6643" priority="1358" operator="containsText" text="PENDIENTE">
      <formula>NOT(ISERROR(SEARCH("PENDIENTE",E82)))</formula>
    </cfRule>
    <cfRule type="containsText" dxfId="6642" priority="1356" operator="containsText" text="PENDIENTE">
      <formula>NOT(ISERROR(SEARCH("PENDIENTE",#REF!)))</formula>
    </cfRule>
    <cfRule type="containsText" dxfId="6641" priority="1357" operator="containsText" text="ENTREGADO">
      <formula>NOT(ISERROR(SEARCH("ENTREGADO",#REF!)))</formula>
    </cfRule>
    <cfRule type="containsText" dxfId="6640" priority="1362" operator="containsText" text="PRIORIDAD">
      <formula>NOT(ISERROR(SEARCH("PRIORIDAD",E82)))</formula>
    </cfRule>
    <cfRule type="containsText" dxfId="6639" priority="1360" operator="containsText" text="ENTREGADO">
      <formula>NOT(ISERROR(SEARCH("ENTREGADO",E82)))</formula>
    </cfRule>
    <cfRule type="containsText" dxfId="6638" priority="1359" operator="containsText" text="ENTREGADO">
      <formula>NOT(ISERROR(SEARCH("ENTREGADO",E82)))</formula>
    </cfRule>
  </conditionalFormatting>
  <conditionalFormatting sqref="E85">
    <cfRule type="containsText" dxfId="6637" priority="2668" operator="containsText" text="PRIORIDAD">
      <formula>NOT(ISERROR(SEARCH("PRIORIDAD",E85)))</formula>
    </cfRule>
    <cfRule type="containsText" dxfId="6636" priority="2663" operator="containsText" text="ENTREGADO">
      <formula>NOT(ISERROR(SEARCH("ENTREGADO",#REF!)))</formula>
    </cfRule>
    <cfRule type="containsText" dxfId="6635" priority="2666" operator="containsText" text="ENTREGADO">
      <formula>NOT(ISERROR(SEARCH("ENTREGADO",E85)))</formula>
    </cfRule>
    <cfRule type="containsText" dxfId="6634" priority="2662" operator="containsText" text="PENDIENTE">
      <formula>NOT(ISERROR(SEARCH("PENDIENTE",#REF!)))</formula>
    </cfRule>
    <cfRule type="containsText" dxfId="6633" priority="2665" operator="containsText" text="ENTREGADO">
      <formula>NOT(ISERROR(SEARCH("ENTREGADO",E85)))</formula>
    </cfRule>
    <cfRule type="containsText" dxfId="6632" priority="2664" operator="containsText" text="PENDIENTE">
      <formula>NOT(ISERROR(SEARCH("PENDIENTE",E85)))</formula>
    </cfRule>
  </conditionalFormatting>
  <conditionalFormatting sqref="E86">
    <cfRule type="containsText" dxfId="6631" priority="2507" operator="containsText" text="PENDIENTE">
      <formula>NOT(ISERROR(SEARCH("PENDIENTE",#REF!)))</formula>
    </cfRule>
    <cfRule type="containsText" dxfId="6630" priority="2513" operator="containsText" text="PRIORIDAD">
      <formula>NOT(ISERROR(SEARCH("PRIORIDAD",E86)))</formula>
    </cfRule>
    <cfRule type="containsText" dxfId="6629" priority="2511" operator="containsText" text="ENTREGADO">
      <formula>NOT(ISERROR(SEARCH("ENTREGADO",E86)))</formula>
    </cfRule>
    <cfRule type="containsText" dxfId="6628" priority="2510" operator="containsText" text="ENTREGADO">
      <formula>NOT(ISERROR(SEARCH("ENTREGADO",E86)))</formula>
    </cfRule>
    <cfRule type="containsText" dxfId="6627" priority="2509" operator="containsText" text="PENDIENTE">
      <formula>NOT(ISERROR(SEARCH("PENDIENTE",E86)))</formula>
    </cfRule>
    <cfRule type="containsText" dxfId="6626" priority="2508" operator="containsText" text="ENTREGADO">
      <formula>NOT(ISERROR(SEARCH("ENTREGADO",#REF!)))</formula>
    </cfRule>
  </conditionalFormatting>
  <conditionalFormatting sqref="E87">
    <cfRule type="containsText" dxfId="6625" priority="2384" operator="containsText" text="PRIORIDAD">
      <formula>NOT(ISERROR(SEARCH("PRIORIDAD",E87)))</formula>
    </cfRule>
    <cfRule type="containsText" dxfId="6624" priority="2382" operator="containsText" text="ENTREGADO">
      <formula>NOT(ISERROR(SEARCH("ENTREGADO",E87)))</formula>
    </cfRule>
    <cfRule type="containsText" dxfId="6623" priority="2381" operator="containsText" text="ENTREGADO">
      <formula>NOT(ISERROR(SEARCH("ENTREGADO",E87)))</formula>
    </cfRule>
    <cfRule type="containsText" dxfId="6622" priority="2380" operator="containsText" text="PENDIENTE">
      <formula>NOT(ISERROR(SEARCH("PENDIENTE",E87)))</formula>
    </cfRule>
    <cfRule type="containsText" dxfId="6621" priority="2379" operator="containsText" text="ENTREGADO">
      <formula>NOT(ISERROR(SEARCH("ENTREGADO",#REF!)))</formula>
    </cfRule>
    <cfRule type="containsText" dxfId="6620" priority="2378" operator="containsText" text="PENDIENTE">
      <formula>NOT(ISERROR(SEARCH("PENDIENTE",#REF!)))</formula>
    </cfRule>
  </conditionalFormatting>
  <conditionalFormatting sqref="E88">
    <cfRule type="containsText" dxfId="6619" priority="2255" operator="containsText" text="PRIORIDAD">
      <formula>NOT(ISERROR(SEARCH("PRIORIDAD",E88)))</formula>
    </cfRule>
    <cfRule type="containsText" dxfId="6618" priority="2249" operator="containsText" text="PENDIENTE">
      <formula>NOT(ISERROR(SEARCH("PENDIENTE",#REF!)))</formula>
    </cfRule>
    <cfRule type="containsText" dxfId="6617" priority="2252" operator="containsText" text="ENTREGADO">
      <formula>NOT(ISERROR(SEARCH("ENTREGADO",E88)))</formula>
    </cfRule>
    <cfRule type="containsText" dxfId="6616" priority="2253" operator="containsText" text="ENTREGADO">
      <formula>NOT(ISERROR(SEARCH("ENTREGADO",E88)))</formula>
    </cfRule>
    <cfRule type="containsText" dxfId="6615" priority="2251" operator="containsText" text="PENDIENTE">
      <formula>NOT(ISERROR(SEARCH("PENDIENTE",E88)))</formula>
    </cfRule>
    <cfRule type="containsText" dxfId="6614" priority="2250" operator="containsText" text="ENTREGADO">
      <formula>NOT(ISERROR(SEARCH("ENTREGADO",#REF!)))</formula>
    </cfRule>
  </conditionalFormatting>
  <conditionalFormatting sqref="E89">
    <cfRule type="containsText" dxfId="6613" priority="1869" operator="containsText" text="ENTREGADO">
      <formula>NOT(ISERROR(SEARCH("ENTREGADO",#REF!)))</formula>
    </cfRule>
    <cfRule type="containsText" dxfId="6612" priority="1868" operator="containsText" text="PENDIENTE">
      <formula>NOT(ISERROR(SEARCH("PENDIENTE",#REF!)))</formula>
    </cfRule>
    <cfRule type="containsText" dxfId="6611" priority="1871" operator="containsText" text="ENTREGADO">
      <formula>NOT(ISERROR(SEARCH("ENTREGADO",E89)))</formula>
    </cfRule>
    <cfRule type="containsText" dxfId="6610" priority="1872" operator="containsText" text="ENTREGADO">
      <formula>NOT(ISERROR(SEARCH("ENTREGADO",E89)))</formula>
    </cfRule>
    <cfRule type="containsText" dxfId="6609" priority="1874" operator="containsText" text="PRIORIDAD">
      <formula>NOT(ISERROR(SEARCH("PRIORIDAD",E89)))</formula>
    </cfRule>
    <cfRule type="containsText" dxfId="6608" priority="1870" operator="containsText" text="PENDIENTE">
      <formula>NOT(ISERROR(SEARCH("PENDIENTE",E89)))</formula>
    </cfRule>
  </conditionalFormatting>
  <conditionalFormatting sqref="E90">
    <cfRule type="containsText" dxfId="6607" priority="1199" operator="containsText" text="PRIORIDAD">
      <formula>NOT(ISERROR(SEARCH("PRIORIDAD",E90)))</formula>
    </cfRule>
    <cfRule type="containsText" dxfId="6606" priority="1197" operator="containsText" text="ENTREGADO">
      <formula>NOT(ISERROR(SEARCH("ENTREGADO",E90)))</formula>
    </cfRule>
    <cfRule type="containsText" dxfId="6605" priority="1196" operator="containsText" text="ENTREGADO">
      <formula>NOT(ISERROR(SEARCH("ENTREGADO",E90)))</formula>
    </cfRule>
    <cfRule type="containsText" dxfId="6604" priority="1194" operator="containsText" text="ENTREGADO">
      <formula>NOT(ISERROR(SEARCH("ENTREGADO",#REF!)))</formula>
    </cfRule>
    <cfRule type="containsText" dxfId="6603" priority="1193" operator="containsText" text="PENDIENTE">
      <formula>NOT(ISERROR(SEARCH("PENDIENTE",#REF!)))</formula>
    </cfRule>
    <cfRule type="containsText" dxfId="6602" priority="1195" operator="containsText" text="PENDIENTE">
      <formula>NOT(ISERROR(SEARCH("PENDIENTE",E90)))</formula>
    </cfRule>
  </conditionalFormatting>
  <conditionalFormatting sqref="E91">
    <cfRule type="containsText" dxfId="6601" priority="1016" operator="containsText" text="ENTREGADO">
      <formula>NOT(ISERROR(SEARCH("ENTREGADO",E91)))</formula>
    </cfRule>
    <cfRule type="containsText" dxfId="6600" priority="1017" operator="containsText" text="ENTREGADO">
      <formula>NOT(ISERROR(SEARCH("ENTREGADO",E91)))</formula>
    </cfRule>
    <cfRule type="containsText" dxfId="6599" priority="1019" operator="containsText" text="PRIORIDAD">
      <formula>NOT(ISERROR(SEARCH("PRIORIDAD",E91)))</formula>
    </cfRule>
    <cfRule type="containsText" dxfId="6598" priority="1014" operator="containsText" text="ENTREGADO">
      <formula>NOT(ISERROR(SEARCH("ENTREGADO",#REF!)))</formula>
    </cfRule>
    <cfRule type="containsText" dxfId="6597" priority="1013" operator="containsText" text="PENDIENTE">
      <formula>NOT(ISERROR(SEARCH("PENDIENTE",#REF!)))</formula>
    </cfRule>
    <cfRule type="containsText" dxfId="6596" priority="1015" operator="containsText" text="PENDIENTE">
      <formula>NOT(ISERROR(SEARCH("PENDIENTE",E91)))</formula>
    </cfRule>
  </conditionalFormatting>
  <conditionalFormatting sqref="E92">
    <cfRule type="containsText" dxfId="6595" priority="878" operator="containsText" text="PRIORIDAD">
      <formula>NOT(ISERROR(SEARCH("PRIORIDAD",E92)))</formula>
    </cfRule>
    <cfRule type="containsText" dxfId="6594" priority="875" operator="containsText" text="ENTREGADO">
      <formula>NOT(ISERROR(SEARCH("ENTREGADO",E92)))</formula>
    </cfRule>
    <cfRule type="containsText" dxfId="6593" priority="874" operator="containsText" text="PENDIENTE">
      <formula>NOT(ISERROR(SEARCH("PENDIENTE",E92)))</formula>
    </cfRule>
    <cfRule type="containsText" dxfId="6592" priority="873" operator="containsText" text="ENTREGADO">
      <formula>NOT(ISERROR(SEARCH("ENTREGADO",#REF!)))</formula>
    </cfRule>
    <cfRule type="containsText" dxfId="6591" priority="872" operator="containsText" text="PENDIENTE">
      <formula>NOT(ISERROR(SEARCH("PENDIENTE",#REF!)))</formula>
    </cfRule>
    <cfRule type="containsText" dxfId="6590" priority="876" operator="containsText" text="ENTREGADO">
      <formula>NOT(ISERROR(SEARCH("ENTREGADO",E92)))</formula>
    </cfRule>
  </conditionalFormatting>
  <conditionalFormatting sqref="E46:H49 J46:N49 BD46:BG49">
    <cfRule type="containsText" dxfId="6589" priority="4443" operator="containsText" text="PENDIENTE">
      <formula>NOT(ISERROR(SEARCH("PENDIENTE",E46)))</formula>
    </cfRule>
  </conditionalFormatting>
  <conditionalFormatting sqref="F8">
    <cfRule type="containsText" dxfId="6588" priority="8029" operator="containsText" text="ENTREGADO">
      <formula>NOT(ISERROR(SEARCH("ENTREGADO",#REF!)))</formula>
    </cfRule>
    <cfRule type="containsText" dxfId="6587" priority="8030" operator="containsText" text="ENTREGADO">
      <formula>NOT(ISERROR(SEARCH("ENTREGADO",F8)))</formula>
    </cfRule>
    <cfRule type="containsText" dxfId="6586" priority="8031" operator="containsText" text="PENDIENTE">
      <formula>NOT(ISERROR(SEARCH("PENDIENTE",#REF!)))</formula>
    </cfRule>
    <cfRule type="containsText" dxfId="6585" priority="8032" operator="containsText" text="PENDIENTE">
      <formula>NOT(ISERROR(SEARCH("PENDIENTE",F8)))</formula>
    </cfRule>
    <cfRule type="containsText" dxfId="6584" priority="8033" operator="containsText" text="PRIORIDAD">
      <formula>NOT(ISERROR(SEARCH("PRIORIDAD",F8)))</formula>
    </cfRule>
    <cfRule type="containsText" dxfId="6583" priority="8034" operator="containsText" text="ENTREGADO">
      <formula>NOT(ISERROR(SEARCH("ENTREGADO",F8)))</formula>
    </cfRule>
  </conditionalFormatting>
  <conditionalFormatting sqref="F9:F17">
    <cfRule type="containsText" dxfId="6582" priority="8023" operator="containsText" text="ENTREGADO">
      <formula>NOT(ISERROR(SEARCH("ENTREGADO",#REF!)))</formula>
    </cfRule>
  </conditionalFormatting>
  <conditionalFormatting sqref="F17 Y51:Z54 AB51:AC54 Y56:Z58 AB56:AC58">
    <cfRule type="containsText" dxfId="6581" priority="8027" operator="containsText" text="PRIORIDAD">
      <formula>NOT(ISERROR(SEARCH("PRIORIDAD",F17)))</formula>
    </cfRule>
  </conditionalFormatting>
  <conditionalFormatting sqref="F17 Y56:Z58 AB56:AC58 AB51:AC54 Y51:Z54">
    <cfRule type="containsText" dxfId="6580" priority="8024" operator="containsText" text="ENTREGADO">
      <formula>NOT(ISERROR(SEARCH("ENTREGADO",F17)))</formula>
    </cfRule>
    <cfRule type="containsText" dxfId="6579" priority="8025" operator="containsText" text="PENDIENTE">
      <formula>NOT(ISERROR(SEARCH("PENDIENTE",#REF!)))</formula>
    </cfRule>
    <cfRule type="containsText" dxfId="6578" priority="8026" operator="containsText" text="PENDIENTE">
      <formula>NOT(ISERROR(SEARCH("PENDIENTE",F17)))</formula>
    </cfRule>
    <cfRule type="containsText" dxfId="6577" priority="8028" operator="containsText" text="ENTREGADO">
      <formula>NOT(ISERROR(SEARCH("ENTREGADO",F17)))</formula>
    </cfRule>
  </conditionalFormatting>
  <conditionalFormatting sqref="F18:F22">
    <cfRule type="containsText" dxfId="6576" priority="12188" operator="containsText" text="ENTREGADO">
      <formula>NOT(ISERROR(SEARCH("ENTREGADO",#REF!)))</formula>
    </cfRule>
  </conditionalFormatting>
  <conditionalFormatting sqref="F23 BD23:BG23 C23:D23">
    <cfRule type="containsText" dxfId="6575" priority="6922" operator="containsText" text="PENDIENTE">
      <formula>NOT(ISERROR(SEARCH("PENDIENTE",#REF!)))</formula>
    </cfRule>
  </conditionalFormatting>
  <conditionalFormatting sqref="F23">
    <cfRule type="containsText" dxfId="6574" priority="6916" operator="containsText" text="ENTREGADO">
      <formula>NOT(ISERROR(SEARCH("ENTREGADO",#REF!)))</formula>
    </cfRule>
  </conditionalFormatting>
  <conditionalFormatting sqref="F27">
    <cfRule type="containsText" dxfId="6573" priority="12187" operator="containsText" text="ENTREGADO">
      <formula>NOT(ISERROR(SEARCH("ENTREGADO",F27)))</formula>
    </cfRule>
    <cfRule type="containsText" dxfId="6572" priority="12186" operator="containsText" text="PRIORIDAD">
      <formula>NOT(ISERROR(SEARCH("PRIORIDAD",F27)))</formula>
    </cfRule>
    <cfRule type="containsText" dxfId="6571" priority="12185" operator="containsText" text="ENTREGADO">
      <formula>NOT(ISERROR(SEARCH("ENTREGADO",F27)))</formula>
    </cfRule>
    <cfRule type="containsText" dxfId="6570" priority="12182" operator="containsText" text="PENDIENTE">
      <formula>NOT(ISERROR(SEARCH("PENDIENTE",#REF!)))</formula>
    </cfRule>
  </conditionalFormatting>
  <conditionalFormatting sqref="F28">
    <cfRule type="containsText" dxfId="6569" priority="22988" operator="containsText" text="PRIORIDAD">
      <formula>NOT(ISERROR(SEARCH("PRIORIDAD",F28)))</formula>
    </cfRule>
    <cfRule type="containsText" dxfId="6568" priority="22990" operator="containsText" text="ENTREGADO">
      <formula>NOT(ISERROR(SEARCH("ENTREGADO",#REF!)))</formula>
    </cfRule>
    <cfRule type="containsText" dxfId="6567" priority="22987" operator="containsText" text="ENTREGADO">
      <formula>NOT(ISERROR(SEARCH("ENTREGADO",F28)))</formula>
    </cfRule>
  </conditionalFormatting>
  <conditionalFormatting sqref="F29">
    <cfRule type="containsText" dxfId="6566" priority="20310" operator="containsText" text="ENTREGADO">
      <formula>NOT(ISERROR(SEARCH("ENTREGADO",F29)))</formula>
    </cfRule>
    <cfRule type="containsText" dxfId="6565" priority="20313" operator="containsText" text="ENTREGADO">
      <formula>NOT(ISERROR(SEARCH("ENTREGADO",#REF!)))</formula>
    </cfRule>
    <cfRule type="containsText" dxfId="6564" priority="20311" operator="containsText" text="PRIORIDAD">
      <formula>NOT(ISERROR(SEARCH("PRIORIDAD",F29)))</formula>
    </cfRule>
  </conditionalFormatting>
  <conditionalFormatting sqref="F30">
    <cfRule type="containsText" dxfId="6563" priority="18883" operator="containsText" text="ENTREGADO">
      <formula>NOT(ISERROR(SEARCH("ENTREGADO",F30)))</formula>
    </cfRule>
    <cfRule type="containsText" dxfId="6562" priority="18884" operator="containsText" text="ENTREGADO">
      <formula>NOT(ISERROR(SEARCH("ENTREGADO",#REF!)))</formula>
    </cfRule>
    <cfRule type="containsText" dxfId="6561" priority="18878" operator="containsText" text="PENDIENTE">
      <formula>NOT(ISERROR(SEARCH("PENDIENTE",#REF!)))</formula>
    </cfRule>
    <cfRule type="containsText" dxfId="6560" priority="18881" operator="containsText" text="ENTREGADO">
      <formula>NOT(ISERROR(SEARCH("ENTREGADO",F30)))</formula>
    </cfRule>
    <cfRule type="containsText" dxfId="6559" priority="18882" operator="containsText" text="PRIORIDAD">
      <formula>NOT(ISERROR(SEARCH("PRIORIDAD",F30)))</formula>
    </cfRule>
  </conditionalFormatting>
  <conditionalFormatting sqref="F32">
    <cfRule type="containsText" dxfId="6558" priority="19612" operator="containsText" text="PENDIENTE">
      <formula>NOT(ISERROR(SEARCH("PENDIENTE",#REF!)))</formula>
    </cfRule>
    <cfRule type="containsText" dxfId="6557" priority="19617" operator="containsText" text="ENTREGADO">
      <formula>NOT(ISERROR(SEARCH("ENTREGADO",F32)))</formula>
    </cfRule>
    <cfRule type="containsText" dxfId="6556" priority="19618" operator="containsText" text="ENTREGADO">
      <formula>NOT(ISERROR(SEARCH("ENTREGADO",#REF!)))</formula>
    </cfRule>
    <cfRule type="containsText" dxfId="6555" priority="19615" operator="containsText" text="ENTREGADO">
      <formula>NOT(ISERROR(SEARCH("ENTREGADO",F32)))</formula>
    </cfRule>
    <cfRule type="containsText" dxfId="6554" priority="19616" operator="containsText" text="PRIORIDAD">
      <formula>NOT(ISERROR(SEARCH("PRIORIDAD",F32)))</formula>
    </cfRule>
  </conditionalFormatting>
  <conditionalFormatting sqref="F34">
    <cfRule type="containsText" dxfId="6553" priority="19959" operator="containsText" text="PRIORIDAD">
      <formula>NOT(ISERROR(SEARCH("PRIORIDAD",F34)))</formula>
    </cfRule>
    <cfRule type="containsText" dxfId="6552" priority="19961" operator="containsText" text="ENTREGADO">
      <formula>NOT(ISERROR(SEARCH("ENTREGADO",#REF!)))</formula>
    </cfRule>
    <cfRule type="containsText" dxfId="6551" priority="19958" operator="containsText" text="ENTREGADO">
      <formula>NOT(ISERROR(SEARCH("ENTREGADO",F34)))</formula>
    </cfRule>
  </conditionalFormatting>
  <conditionalFormatting sqref="F38">
    <cfRule type="containsText" dxfId="6550" priority="4449" operator="containsText" text="PENDIENTE">
      <formula>NOT(ISERROR(SEARCH("PENDIENTE",#REF!)))</formula>
    </cfRule>
    <cfRule type="containsText" dxfId="6549" priority="4447" operator="containsText" text="ENTREGADO">
      <formula>NOT(ISERROR(SEARCH("ENTREGADO",F38)))</formula>
    </cfRule>
    <cfRule type="containsText" dxfId="6548" priority="4448" operator="containsText" text="ENTREGADO">
      <formula>NOT(ISERROR(SEARCH("ENTREGADO",#REF!)))</formula>
    </cfRule>
    <cfRule type="containsText" dxfId="6547" priority="4452" operator="containsText" text="ENTREGADO">
      <formula>NOT(ISERROR(SEARCH("ENTREGADO",F38)))</formula>
    </cfRule>
    <cfRule type="containsText" dxfId="6546" priority="4451" operator="containsText" text="PENDIENTE">
      <formula>NOT(ISERROR(SEARCH("PENDIENTE",F38)))</formula>
    </cfRule>
    <cfRule type="containsText" dxfId="6545" priority="4450" operator="containsText" text="ENTREGADO">
      <formula>NOT(ISERROR(SEARCH("ENTREGADO",F38)))</formula>
    </cfRule>
  </conditionalFormatting>
  <conditionalFormatting sqref="F39 C39:D39 BD39:BG39">
    <cfRule type="containsText" dxfId="6544" priority="4279" operator="containsText" text="ENTREGADO">
      <formula>NOT(ISERROR(SEARCH("ENTREGADO",#REF!)))</formula>
    </cfRule>
  </conditionalFormatting>
  <conditionalFormatting sqref="F39">
    <cfRule type="containsText" dxfId="6543" priority="4152" operator="containsText" text="ENTREGADO">
      <formula>NOT(ISERROR(SEARCH("ENTREGADO",F39)))</formula>
    </cfRule>
    <cfRule type="containsText" dxfId="6542" priority="4154" operator="containsText" text="ENTREGADO">
      <formula>NOT(ISERROR(SEARCH("ENTREGADO",F39)))</formula>
    </cfRule>
    <cfRule type="containsText" dxfId="6541" priority="4153" operator="containsText" text="PRIORIDAD">
      <formula>NOT(ISERROR(SEARCH("PRIORIDAD",F39)))</formula>
    </cfRule>
    <cfRule type="containsText" dxfId="6540" priority="4150" operator="containsText" text="PENDIENTE">
      <formula>NOT(ISERROR(SEARCH("PENDIENTE",#REF!)))</formula>
    </cfRule>
  </conditionalFormatting>
  <conditionalFormatting sqref="F40">
    <cfRule type="containsText" dxfId="6539" priority="7140" operator="containsText" text="PRIORIDAD">
      <formula>NOT(ISERROR(SEARCH("PRIORIDAD",F40)))</formula>
    </cfRule>
    <cfRule type="containsText" dxfId="6538" priority="7139" operator="containsText" text="ENTREGADO">
      <formula>NOT(ISERROR(SEARCH("ENTREGADO",F40)))</formula>
    </cfRule>
    <cfRule type="containsText" dxfId="6537" priority="7136" operator="containsText" text="PENDIENTE">
      <formula>NOT(ISERROR(SEARCH("PENDIENTE",#REF!)))</formula>
    </cfRule>
    <cfRule type="containsText" dxfId="6536" priority="7142" operator="containsText" text="ENTREGADO">
      <formula>NOT(ISERROR(SEARCH("ENTREGADO",#REF!)))</formula>
    </cfRule>
    <cfRule type="containsText" dxfId="6535" priority="7141" operator="containsText" text="ENTREGADO">
      <formula>NOT(ISERROR(SEARCH("ENTREGADO",F40)))</formula>
    </cfRule>
  </conditionalFormatting>
  <conditionalFormatting sqref="F41">
    <cfRule type="containsText" dxfId="6534" priority="3795" operator="containsText" text="PRIORIDAD">
      <formula>NOT(ISERROR(SEARCH("PRIORIDAD",F41)))</formula>
    </cfRule>
    <cfRule type="containsText" dxfId="6533" priority="3794" operator="containsText" text="ENTREGADO">
      <formula>NOT(ISERROR(SEARCH("ENTREGADO",F41)))</formula>
    </cfRule>
    <cfRule type="containsText" dxfId="6532" priority="3797" operator="containsText" text="ENTREGADO">
      <formula>NOT(ISERROR(SEARCH("ENTREGADO",#REF!)))</formula>
    </cfRule>
  </conditionalFormatting>
  <conditionalFormatting sqref="F72 C72:D72 AR72:BA72 AD72:AF72 AI72:AL72 AN72:AO72">
    <cfRule type="containsText" dxfId="6531" priority="6764" operator="containsText" text="ENTREGADO">
      <formula>NOT(ISERROR(SEARCH("ENTREGADO",C72)))</formula>
    </cfRule>
  </conditionalFormatting>
  <conditionalFormatting sqref="F72 BH71:XFD72">
    <cfRule type="containsText" dxfId="6530" priority="6763" operator="containsText" text="ENTREGADO">
      <formula>NOT(ISERROR(SEARCH("ENTREGADO",F71)))</formula>
    </cfRule>
  </conditionalFormatting>
  <conditionalFormatting sqref="F72">
    <cfRule type="containsText" dxfId="6529" priority="6762" operator="containsText" text="PENDIENTE">
      <formula>NOT(ISERROR(SEARCH("PENDIENTE",F72)))</formula>
    </cfRule>
  </conditionalFormatting>
  <conditionalFormatting sqref="F73 C73:D73 AR73:BA73 AD73:AF73 AI73:AL73 AN73:AO73">
    <cfRule type="containsText" dxfId="6528" priority="6637" operator="containsText" text="ENTREGADO">
      <formula>NOT(ISERROR(SEARCH("ENTREGADO",C73)))</formula>
    </cfRule>
  </conditionalFormatting>
  <conditionalFormatting sqref="F73 BH72:XFD73">
    <cfRule type="containsText" dxfId="6527" priority="6636" operator="containsText" text="ENTREGADO">
      <formula>NOT(ISERROR(SEARCH("ENTREGADO",F72)))</formula>
    </cfRule>
  </conditionalFormatting>
  <conditionalFormatting sqref="F73">
    <cfRule type="containsText" dxfId="6526" priority="6635" operator="containsText" text="PENDIENTE">
      <formula>NOT(ISERROR(SEARCH("PENDIENTE",F73)))</formula>
    </cfRule>
  </conditionalFormatting>
  <conditionalFormatting sqref="F74 AI74:AL74 AN74:AO74 C74:D74 AR74:BA74 AD74:AF74">
    <cfRule type="containsText" dxfId="6525" priority="6509" operator="containsText" text="ENTREGADO">
      <formula>NOT(ISERROR(SEARCH("ENTREGADO",C74)))</formula>
    </cfRule>
  </conditionalFormatting>
  <conditionalFormatting sqref="F74 BH73:XFD74 AI74:AL74 AN74:AO74">
    <cfRule type="containsText" dxfId="6524" priority="6508" operator="containsText" text="ENTREGADO">
      <formula>NOT(ISERROR(SEARCH("ENTREGADO",F73)))</formula>
    </cfRule>
  </conditionalFormatting>
  <conditionalFormatting sqref="F74">
    <cfRule type="containsText" dxfId="6523" priority="6507" operator="containsText" text="PENDIENTE">
      <formula>NOT(ISERROR(SEARCH("PENDIENTE",F74)))</formula>
    </cfRule>
  </conditionalFormatting>
  <conditionalFormatting sqref="F77">
    <cfRule type="containsText" dxfId="6522" priority="2100" operator="containsText" text="ENTREGADO">
      <formula>NOT(ISERROR(SEARCH("ENTREGADO",F77)))</formula>
    </cfRule>
    <cfRule type="containsText" dxfId="6521" priority="2103" operator="containsText" text="ENTREGADO">
      <formula>NOT(ISERROR(SEARCH("ENTREGADO",#REF!)))</formula>
    </cfRule>
    <cfRule type="containsText" dxfId="6520" priority="2101" operator="containsText" text="PRIORIDAD">
      <formula>NOT(ISERROR(SEARCH("PRIORIDAD",F77)))</formula>
    </cfRule>
  </conditionalFormatting>
  <conditionalFormatting sqref="F28:H28 J28:M28">
    <cfRule type="containsText" dxfId="6519" priority="22989" operator="containsText" text="ENTREGADO">
      <formula>NOT(ISERROR(SEARCH("ENTREGADO",F28)))</formula>
    </cfRule>
  </conditionalFormatting>
  <conditionalFormatting sqref="F28:H29">
    <cfRule type="containsText" dxfId="6518" priority="20307" operator="containsText" text="PENDIENTE">
      <formula>NOT(ISERROR(SEARCH("PENDIENTE",#REF!)))</formula>
    </cfRule>
  </conditionalFormatting>
  <conditionalFormatting sqref="F29:H29 K29:N29">
    <cfRule type="containsText" dxfId="6517" priority="20312" operator="containsText" text="ENTREGADO">
      <formula>NOT(ISERROR(SEARCH("ENTREGADO",F29)))</formula>
    </cfRule>
  </conditionalFormatting>
  <conditionalFormatting sqref="F31:H31 J31:O31">
    <cfRule type="containsText" dxfId="6516" priority="17481" operator="containsText" text="ENTREGADO">
      <formula>NOT(ISERROR(SEARCH("ENTREGADO",F31)))</formula>
    </cfRule>
  </conditionalFormatting>
  <conditionalFormatting sqref="F32:H34 B33:D33 J33:N33 Y33:AL33 AN33:BC33 V33:W33">
    <cfRule type="containsText" dxfId="6515" priority="5970" operator="containsText" text="PENDIENTE">
      <formula>NOT(ISERROR(SEARCH("PENDIENTE",B32)))</formula>
    </cfRule>
  </conditionalFormatting>
  <conditionalFormatting sqref="F32:H34 B33:D33 J33:N33">
    <cfRule type="containsText" dxfId="6514" priority="5969" operator="containsText" text="ENTREGADO">
      <formula>NOT(ISERROR(SEARCH("ENTREGADO",B32)))</formula>
    </cfRule>
  </conditionalFormatting>
  <conditionalFormatting sqref="F33:H33 V33:W33 B33:D33 Y33:AL33 AN33:BC33 J33:N33">
    <cfRule type="containsText" dxfId="6513" priority="5972" operator="containsText" text="ENTREGADO">
      <formula>NOT(ISERROR(SEARCH("ENTREGADO",B33)))</formula>
    </cfRule>
  </conditionalFormatting>
  <conditionalFormatting sqref="F34:H34 J34:N34">
    <cfRule type="containsText" dxfId="6512" priority="19960" operator="containsText" text="ENTREGADO">
      <formula>NOT(ISERROR(SEARCH("ENTREGADO",F34)))</formula>
    </cfRule>
  </conditionalFormatting>
  <conditionalFormatting sqref="F37:H38">
    <cfRule type="containsText" dxfId="6511" priority="4446" operator="containsText" text="PRIORIDAD">
      <formula>NOT(ISERROR(SEARCH("PRIORIDAD",F37)))</formula>
    </cfRule>
  </conditionalFormatting>
  <conditionalFormatting sqref="F40:H40 J40:N40 AA83:AA88 AA80:AA81 AH56:AH58 AA41 AH51:AH54 AA51:AA54 AA56:AA77">
    <cfRule type="containsText" dxfId="6510" priority="7135" operator="containsText" text="ENTREGADO">
      <formula>NOT(ISERROR(SEARCH("ENTREGADO",F40)))</formula>
    </cfRule>
    <cfRule type="containsText" dxfId="6509" priority="7137" operator="containsText" text="PENDIENTE">
      <formula>NOT(ISERROR(SEARCH("PENDIENTE",F40)))</formula>
    </cfRule>
  </conditionalFormatting>
  <conditionalFormatting sqref="F41:H41 J41:N41">
    <cfRule type="containsText" dxfId="6508" priority="3796" operator="containsText" text="ENTREGADO">
      <formula>NOT(ISERROR(SEARCH("ENTREGADO",F41)))</formula>
    </cfRule>
  </conditionalFormatting>
  <conditionalFormatting sqref="F41:H41">
    <cfRule type="containsText" dxfId="6507" priority="3666" operator="containsText" text="PENDIENTE">
      <formula>NOT(ISERROR(SEARCH("PENDIENTE",F41)))</formula>
    </cfRule>
    <cfRule type="containsText" dxfId="6506" priority="3665" operator="containsText" text="ENTREGADO">
      <formula>NOT(ISERROR(SEARCH("ENTREGADO",F41)))</formula>
    </cfRule>
  </conditionalFormatting>
  <conditionalFormatting sqref="F42:H45 J42:N45 J50:N50 F50:H50">
    <cfRule type="containsText" dxfId="6505" priority="7046" operator="containsText" text="ENTREGADO">
      <formula>NOT(ISERROR(SEARCH("ENTREGADO",F42)))</formula>
    </cfRule>
    <cfRule type="containsText" dxfId="6504" priority="9852" operator="containsText" text="ENTREGADO">
      <formula>NOT(ISERROR(SEARCH("ENTREGADO",#REF!)))</formula>
    </cfRule>
  </conditionalFormatting>
  <conditionalFormatting sqref="F46:H49 J46:N49">
    <cfRule type="containsText" dxfId="6503" priority="4363" operator="containsText" text="ENTREGADO">
      <formula>NOT(ISERROR(SEARCH("ENTREGADO",F46)))</formula>
    </cfRule>
    <cfRule type="containsText" dxfId="6502" priority="4382" operator="containsText" text="ENTREGADO">
      <formula>NOT(ISERROR(SEARCH("ENTREGADO",#REF!)))</formula>
    </cfRule>
  </conditionalFormatting>
  <conditionalFormatting sqref="F56:H56 J56:N56">
    <cfRule type="containsText" dxfId="6501" priority="6963" operator="containsText" text="ENTREGADO">
      <formula>NOT(ISERROR(SEARCH("ENTREGADO",#REF!)))</formula>
    </cfRule>
    <cfRule type="containsText" dxfId="6500" priority="7044" operator="containsText" text="PENDIENTE">
      <formula>NOT(ISERROR(SEARCH("PENDIENTE",F56)))</formula>
    </cfRule>
  </conditionalFormatting>
  <conditionalFormatting sqref="F56:H56 J56:O56">
    <cfRule type="containsText" dxfId="6499" priority="7032" operator="containsText" text="ENTREGADO">
      <formula>NOT(ISERROR(SEARCH("ENTREGADO",F56)))</formula>
    </cfRule>
  </conditionalFormatting>
  <conditionalFormatting sqref="F59:H59 C59:D59 J59:N59">
    <cfRule type="containsText" dxfId="6498" priority="3557" operator="containsText" text="ENTREGADO">
      <formula>NOT(ISERROR(SEARCH("ENTREGADO",#REF!)))</formula>
    </cfRule>
  </conditionalFormatting>
  <conditionalFormatting sqref="F59:H59 J59:N59">
    <cfRule type="containsText" dxfId="6497" priority="3562" operator="containsText" text="PENDIENTE">
      <formula>NOT(ISERROR(SEARCH("PENDIENTE",F59)))</formula>
    </cfRule>
    <cfRule type="containsText" dxfId="6496" priority="3561" operator="containsText" text="ENTREGADO">
      <formula>NOT(ISERROR(SEARCH("ENTREGADO",F59)))</formula>
    </cfRule>
    <cfRule type="containsText" dxfId="6495" priority="3563" operator="containsText" text="ENTREGADO">
      <formula>NOT(ISERROR(SEARCH("ENTREGADO",F59)))</formula>
    </cfRule>
  </conditionalFormatting>
  <conditionalFormatting sqref="F60:H60 C60:D60 J60:N60">
    <cfRule type="containsText" dxfId="6494" priority="4724" operator="containsText" text="ENTREGADO">
      <formula>NOT(ISERROR(SEARCH("ENTREGADO",#REF!)))</formula>
    </cfRule>
  </conditionalFormatting>
  <conditionalFormatting sqref="F60:H60 J60:N60">
    <cfRule type="containsText" dxfId="6493" priority="4730" operator="containsText" text="ENTREGADO">
      <formula>NOT(ISERROR(SEARCH("ENTREGADO",F60)))</formula>
    </cfRule>
    <cfRule type="containsText" dxfId="6492" priority="4729" operator="containsText" text="PENDIENTE">
      <formula>NOT(ISERROR(SEARCH("PENDIENTE",F60)))</formula>
    </cfRule>
    <cfRule type="containsText" dxfId="6491" priority="4728" operator="containsText" text="ENTREGADO">
      <formula>NOT(ISERROR(SEARCH("ENTREGADO",F60)))</formula>
    </cfRule>
  </conditionalFormatting>
  <conditionalFormatting sqref="F61:H61 C61:D61 J61:N61">
    <cfRule type="containsText" dxfId="6490" priority="4585" operator="containsText" text="ENTREGADO">
      <formula>NOT(ISERROR(SEARCH("ENTREGADO",#REF!)))</formula>
    </cfRule>
  </conditionalFormatting>
  <conditionalFormatting sqref="F61:H61 J61:N61">
    <cfRule type="containsText" dxfId="6489" priority="4589" operator="containsText" text="ENTREGADO">
      <formula>NOT(ISERROR(SEARCH("ENTREGADO",F61)))</formula>
    </cfRule>
    <cfRule type="containsText" dxfId="6488" priority="4590" operator="containsText" text="PENDIENTE">
      <formula>NOT(ISERROR(SEARCH("PENDIENTE",F61)))</formula>
    </cfRule>
    <cfRule type="containsText" dxfId="6487" priority="4591" operator="containsText" text="ENTREGADO">
      <formula>NOT(ISERROR(SEARCH("ENTREGADO",F61)))</formula>
    </cfRule>
  </conditionalFormatting>
  <conditionalFormatting sqref="F70:H70 C70:D70 AD70:AG70 T70:X70 AI70:AL70 AN70:AO70 AR70:XFD70 J70:N70">
    <cfRule type="containsText" dxfId="6486" priority="5815" operator="containsText" text="ENTREGADO">
      <formula>NOT(ISERROR(SEARCH("ENTREGADO",#REF!)))</formula>
    </cfRule>
  </conditionalFormatting>
  <conditionalFormatting sqref="F72:H72 C72:D72 J72:N72">
    <cfRule type="containsText" dxfId="6485" priority="6761" operator="containsText" text="ENTREGADO">
      <formula>NOT(ISERROR(SEARCH("ENTREGADO",#REF!)))</formula>
    </cfRule>
  </conditionalFormatting>
  <conditionalFormatting sqref="F73:H73 C73:D73 J73:N73">
    <cfRule type="containsText" dxfId="6484" priority="6634" operator="containsText" text="ENTREGADO">
      <formula>NOT(ISERROR(SEARCH("ENTREGADO",#REF!)))</formula>
    </cfRule>
  </conditionalFormatting>
  <conditionalFormatting sqref="F74:H74 C74:D74 J74:N74">
    <cfRule type="containsText" dxfId="6483" priority="6506" operator="containsText" text="ENTREGADO">
      <formula>NOT(ISERROR(SEARCH("ENTREGADO",#REF!)))</formula>
    </cfRule>
  </conditionalFormatting>
  <conditionalFormatting sqref="F75:H75 C75:D75 J75:N75">
    <cfRule type="containsText" dxfId="6482" priority="4863" operator="containsText" text="ENTREGADO">
      <formula>NOT(ISERROR(SEARCH("ENTREGADO",#REF!)))</formula>
    </cfRule>
  </conditionalFormatting>
  <conditionalFormatting sqref="F75:H75 J75:N75">
    <cfRule type="containsText" dxfId="6481" priority="4868" operator="containsText" text="PENDIENTE">
      <formula>NOT(ISERROR(SEARCH("PENDIENTE",F75)))</formula>
    </cfRule>
    <cfRule type="containsText" dxfId="6480" priority="4867" operator="containsText" text="ENTREGADO">
      <formula>NOT(ISERROR(SEARCH("ENTREGADO",F75)))</formula>
    </cfRule>
    <cfRule type="containsText" dxfId="6479" priority="4869" operator="containsText" text="ENTREGADO">
      <formula>NOT(ISERROR(SEARCH("ENTREGADO",F75)))</formula>
    </cfRule>
  </conditionalFormatting>
  <conditionalFormatting sqref="F76:H76 C76:D76 J76:N76 J80:N81 C80:D81 F80:H81 F83:H84 C83:D84 J83:N84">
    <cfRule type="containsText" dxfId="6478" priority="2972" operator="containsText" text="ENTREGADO">
      <formula>NOT(ISERROR(SEARCH("ENTREGADO",#REF!)))</formula>
    </cfRule>
  </conditionalFormatting>
  <conditionalFormatting sqref="F76:H76 J76:N76 J80:N81 F80:H81 F83:H84 J83:N84">
    <cfRule type="containsText" dxfId="6477" priority="2978" operator="containsText" text="ENTREGADO">
      <formula>NOT(ISERROR(SEARCH("ENTREGADO",F76)))</formula>
    </cfRule>
    <cfRule type="containsText" dxfId="6476" priority="2977" operator="containsText" text="PENDIENTE">
      <formula>NOT(ISERROR(SEARCH("PENDIENTE",F76)))</formula>
    </cfRule>
    <cfRule type="containsText" dxfId="6475" priority="2976" operator="containsText" text="ENTREGADO">
      <formula>NOT(ISERROR(SEARCH("ENTREGADO",F76)))</formula>
    </cfRule>
  </conditionalFormatting>
  <conditionalFormatting sqref="F77:H77 J77:N77">
    <cfRule type="containsText" dxfId="6474" priority="2102" operator="containsText" text="ENTREGADO">
      <formula>NOT(ISERROR(SEARCH("ENTREGADO",F77)))</formula>
    </cfRule>
  </conditionalFormatting>
  <conditionalFormatting sqref="F77:H77">
    <cfRule type="containsText" dxfId="6473" priority="2000" operator="containsText" text="ENTREGADO">
      <formula>NOT(ISERROR(SEARCH("ENTREGADO",F77)))</formula>
    </cfRule>
    <cfRule type="containsText" dxfId="6472" priority="2001" operator="containsText" text="PENDIENTE">
      <formula>NOT(ISERROR(SEARCH("PENDIENTE",F77)))</formula>
    </cfRule>
  </conditionalFormatting>
  <conditionalFormatting sqref="F78:H78 C78:D78 J78:N78">
    <cfRule type="containsText" dxfId="6471" priority="1674" operator="containsText" text="ENTREGADO">
      <formula>NOT(ISERROR(SEARCH("ENTREGADO",#REF!)))</formula>
    </cfRule>
  </conditionalFormatting>
  <conditionalFormatting sqref="F78:H78 J78:N78">
    <cfRule type="containsText" dxfId="6470" priority="1678" operator="containsText" text="ENTREGADO">
      <formula>NOT(ISERROR(SEARCH("ENTREGADO",F78)))</formula>
    </cfRule>
    <cfRule type="containsText" dxfId="6469" priority="1679" operator="containsText" text="PENDIENTE">
      <formula>NOT(ISERROR(SEARCH("PENDIENTE",F78)))</formula>
    </cfRule>
    <cfRule type="containsText" dxfId="6468" priority="1680" operator="containsText" text="ENTREGADO">
      <formula>NOT(ISERROR(SEARCH("ENTREGADO",F78)))</formula>
    </cfRule>
  </conditionalFormatting>
  <conditionalFormatting sqref="F79:H79 C79:D79 J79:N79 AR79:XFD79 AN79:AO79 AI79:AL79 T79:X79 AD79:AG79">
    <cfRule type="containsText" dxfId="6467" priority="1545" operator="containsText" text="ENTREGADO">
      <formula>NOT(ISERROR(SEARCH("ENTREGADO",#REF!)))</formula>
    </cfRule>
  </conditionalFormatting>
  <conditionalFormatting sqref="F85:H85 C85:D85 J85:N85">
    <cfRule type="containsText" dxfId="6466" priority="2714" operator="containsText" text="ENTREGADO">
      <formula>NOT(ISERROR(SEARCH("ENTREGADO",#REF!)))</formula>
    </cfRule>
  </conditionalFormatting>
  <conditionalFormatting sqref="F85:H85 J85:N85">
    <cfRule type="containsText" dxfId="6465" priority="2720" operator="containsText" text="ENTREGADO">
      <formula>NOT(ISERROR(SEARCH("ENTREGADO",F85)))</formula>
    </cfRule>
    <cfRule type="containsText" dxfId="6464" priority="2719" operator="containsText" text="PENDIENTE">
      <formula>NOT(ISERROR(SEARCH("PENDIENTE",F85)))</formula>
    </cfRule>
    <cfRule type="containsText" dxfId="6463" priority="2718" operator="containsText" text="ENTREGADO">
      <formula>NOT(ISERROR(SEARCH("ENTREGADO",F85)))</formula>
    </cfRule>
  </conditionalFormatting>
  <conditionalFormatting sqref="F86:H86 C86:D86 J86:N86">
    <cfRule type="containsText" dxfId="6462" priority="2559" operator="containsText" text="ENTREGADO">
      <formula>NOT(ISERROR(SEARCH("ENTREGADO",#REF!)))</formula>
    </cfRule>
  </conditionalFormatting>
  <conditionalFormatting sqref="F86:H86 J86:N86">
    <cfRule type="containsText" dxfId="6461" priority="2565" operator="containsText" text="ENTREGADO">
      <formula>NOT(ISERROR(SEARCH("ENTREGADO",F86)))</formula>
    </cfRule>
    <cfRule type="containsText" dxfId="6460" priority="2564" operator="containsText" text="PENDIENTE">
      <formula>NOT(ISERROR(SEARCH("PENDIENTE",F86)))</formula>
    </cfRule>
    <cfRule type="containsText" dxfId="6459" priority="2563" operator="containsText" text="ENTREGADO">
      <formula>NOT(ISERROR(SEARCH("ENTREGADO",F86)))</formula>
    </cfRule>
  </conditionalFormatting>
  <conditionalFormatting sqref="F87:H87 C87:D87 J87:N87">
    <cfRule type="containsText" dxfId="6458" priority="2430" operator="containsText" text="ENTREGADO">
      <formula>NOT(ISERROR(SEARCH("ENTREGADO",#REF!)))</formula>
    </cfRule>
  </conditionalFormatting>
  <conditionalFormatting sqref="F87:H87 J87:N87">
    <cfRule type="containsText" dxfId="6457" priority="2434" operator="containsText" text="ENTREGADO">
      <formula>NOT(ISERROR(SEARCH("ENTREGADO",F87)))</formula>
    </cfRule>
    <cfRule type="containsText" dxfId="6456" priority="2435" operator="containsText" text="PENDIENTE">
      <formula>NOT(ISERROR(SEARCH("PENDIENTE",F87)))</formula>
    </cfRule>
    <cfRule type="containsText" dxfId="6455" priority="2436" operator="containsText" text="ENTREGADO">
      <formula>NOT(ISERROR(SEARCH("ENTREGADO",F87)))</formula>
    </cfRule>
  </conditionalFormatting>
  <conditionalFormatting sqref="F88:H88 C88:D88 J88:N88">
    <cfRule type="containsText" dxfId="6454" priority="2301" operator="containsText" text="ENTREGADO">
      <formula>NOT(ISERROR(SEARCH("ENTREGADO",#REF!)))</formula>
    </cfRule>
  </conditionalFormatting>
  <conditionalFormatting sqref="F88:H88 J88:N88">
    <cfRule type="containsText" dxfId="6453" priority="2307" operator="containsText" text="ENTREGADO">
      <formula>NOT(ISERROR(SEARCH("ENTREGADO",F88)))</formula>
    </cfRule>
    <cfRule type="containsText" dxfId="6452" priority="2306" operator="containsText" text="PENDIENTE">
      <formula>NOT(ISERROR(SEARCH("PENDIENTE",F88)))</formula>
    </cfRule>
    <cfRule type="containsText" dxfId="6451" priority="2305" operator="containsText" text="ENTREGADO">
      <formula>NOT(ISERROR(SEARCH("ENTREGADO",F88)))</formula>
    </cfRule>
  </conditionalFormatting>
  <conditionalFormatting sqref="F89:H89 C89:D89 J89:N89">
    <cfRule type="containsText" dxfId="6450" priority="1920" operator="containsText" text="ENTREGADO">
      <formula>NOT(ISERROR(SEARCH("ENTREGADO",#REF!)))</formula>
    </cfRule>
  </conditionalFormatting>
  <conditionalFormatting sqref="F89:H89 J89:N89">
    <cfRule type="containsText" dxfId="6449" priority="1926" operator="containsText" text="ENTREGADO">
      <formula>NOT(ISERROR(SEARCH("ENTREGADO",F89)))</formula>
    </cfRule>
    <cfRule type="containsText" dxfId="6448" priority="1925" operator="containsText" text="PENDIENTE">
      <formula>NOT(ISERROR(SEARCH("PENDIENTE",F89)))</formula>
    </cfRule>
    <cfRule type="containsText" dxfId="6447" priority="1924" operator="containsText" text="ENTREGADO">
      <formula>NOT(ISERROR(SEARCH("ENTREGADO",F89)))</formula>
    </cfRule>
  </conditionalFormatting>
  <conditionalFormatting sqref="F90:H90 C90:D90 J90:N90">
    <cfRule type="containsText" dxfId="6446" priority="1245" operator="containsText" text="ENTREGADO">
      <formula>NOT(ISERROR(SEARCH("ENTREGADO",#REF!)))</formula>
    </cfRule>
  </conditionalFormatting>
  <conditionalFormatting sqref="F90:H90 J90:N90">
    <cfRule type="containsText" dxfId="6445" priority="1251" operator="containsText" text="ENTREGADO">
      <formula>NOT(ISERROR(SEARCH("ENTREGADO",F90)))</formula>
    </cfRule>
    <cfRule type="containsText" dxfId="6444" priority="1249" operator="containsText" text="ENTREGADO">
      <formula>NOT(ISERROR(SEARCH("ENTREGADO",F90)))</formula>
    </cfRule>
    <cfRule type="containsText" dxfId="6443" priority="1250" operator="containsText" text="PENDIENTE">
      <formula>NOT(ISERROR(SEARCH("PENDIENTE",F90)))</formula>
    </cfRule>
  </conditionalFormatting>
  <conditionalFormatting sqref="F91:H91 C91:D91 J91:N91">
    <cfRule type="containsText" dxfId="6442" priority="1065" operator="containsText" text="ENTREGADO">
      <formula>NOT(ISERROR(SEARCH("ENTREGADO",#REF!)))</formula>
    </cfRule>
  </conditionalFormatting>
  <conditionalFormatting sqref="F91:H91 J91:N91">
    <cfRule type="containsText" dxfId="6441" priority="1069" operator="containsText" text="ENTREGADO">
      <formula>NOT(ISERROR(SEARCH("ENTREGADO",F91)))</formula>
    </cfRule>
    <cfRule type="containsText" dxfId="6440" priority="1071" operator="containsText" text="ENTREGADO">
      <formula>NOT(ISERROR(SEARCH("ENTREGADO",F91)))</formula>
    </cfRule>
    <cfRule type="containsText" dxfId="6439" priority="1070" operator="containsText" text="PENDIENTE">
      <formula>NOT(ISERROR(SEARCH("PENDIENTE",F91)))</formula>
    </cfRule>
  </conditionalFormatting>
  <conditionalFormatting sqref="F92:H92 C92:D92 J92:N92">
    <cfRule type="containsText" dxfId="6438" priority="924" operator="containsText" text="ENTREGADO">
      <formula>NOT(ISERROR(SEARCH("ENTREGADO",#REF!)))</formula>
    </cfRule>
  </conditionalFormatting>
  <conditionalFormatting sqref="F92:H92 J92:N92">
    <cfRule type="containsText" dxfId="6437" priority="928" operator="containsText" text="ENTREGADO">
      <formula>NOT(ISERROR(SEARCH("ENTREGADO",F92)))</formula>
    </cfRule>
    <cfRule type="containsText" dxfId="6436" priority="930" operator="containsText" text="ENTREGADO">
      <formula>NOT(ISERROR(SEARCH("ENTREGADO",F92)))</formula>
    </cfRule>
    <cfRule type="containsText" dxfId="6435" priority="929" operator="containsText" text="PENDIENTE">
      <formula>NOT(ISERROR(SEARCH("PENDIENTE",F92)))</formula>
    </cfRule>
  </conditionalFormatting>
  <conditionalFormatting sqref="F61:I61">
    <cfRule type="containsText" dxfId="6434" priority="4463" operator="containsText" text="PRIORIDAD">
      <formula>NOT(ISERROR(SEARCH("PRIORIDAD",F61)))</formula>
    </cfRule>
  </conditionalFormatting>
  <conditionalFormatting sqref="F46:N49">
    <cfRule type="containsText" dxfId="6433" priority="4307" operator="containsText" text="PRIORIDAD">
      <formula>NOT(ISERROR(SEARCH("PRIORIDAD",F46)))</formula>
    </cfRule>
  </conditionalFormatting>
  <conditionalFormatting sqref="F59:N59">
    <cfRule type="containsText" dxfId="6432" priority="3435" operator="containsText" text="PRIORIDAD">
      <formula>NOT(ISERROR(SEARCH("PRIORIDAD",F59)))</formula>
    </cfRule>
  </conditionalFormatting>
  <conditionalFormatting sqref="F60:N60">
    <cfRule type="containsText" dxfId="6431" priority="4602" operator="containsText" text="PRIORIDAD">
      <formula>NOT(ISERROR(SEARCH("PRIORIDAD",F60)))</formula>
    </cfRule>
  </conditionalFormatting>
  <conditionalFormatting sqref="F75:N75">
    <cfRule type="containsText" dxfId="6430" priority="4740" operator="containsText" text="PRIORIDAD">
      <formula>NOT(ISERROR(SEARCH("PRIORIDAD",F75)))</formula>
    </cfRule>
  </conditionalFormatting>
  <conditionalFormatting sqref="F76:N76 F80:N81 F83:N84">
    <cfRule type="containsText" dxfId="6429" priority="2858" operator="containsText" text="PRIORIDAD">
      <formula>NOT(ISERROR(SEARCH("PRIORIDAD",F76)))</formula>
    </cfRule>
  </conditionalFormatting>
  <conditionalFormatting sqref="F82:N82">
    <cfRule type="containsText" dxfId="6428" priority="1313" operator="containsText" text="PRIORIDAD">
      <formula>NOT(ISERROR(SEARCH("PRIORIDAD",F82)))</formula>
    </cfRule>
  </conditionalFormatting>
  <conditionalFormatting sqref="F85:N85">
    <cfRule type="containsText" dxfId="6427" priority="2600" operator="containsText" text="PRIORIDAD">
      <formula>NOT(ISERROR(SEARCH("PRIORIDAD",F85)))</formula>
    </cfRule>
  </conditionalFormatting>
  <conditionalFormatting sqref="F86:N86">
    <cfRule type="containsText" dxfId="6426" priority="2445" operator="containsText" text="PRIORIDAD">
      <formula>NOT(ISERROR(SEARCH("PRIORIDAD",F86)))</formula>
    </cfRule>
  </conditionalFormatting>
  <conditionalFormatting sqref="F87:N87">
    <cfRule type="containsText" dxfId="6425" priority="2316" operator="containsText" text="PRIORIDAD">
      <formula>NOT(ISERROR(SEARCH("PRIORIDAD",F87)))</formula>
    </cfRule>
  </conditionalFormatting>
  <conditionalFormatting sqref="F88:N88">
    <cfRule type="containsText" dxfId="6424" priority="2187" operator="containsText" text="PRIORIDAD">
      <formula>NOT(ISERROR(SEARCH("PRIORIDAD",F88)))</formula>
    </cfRule>
  </conditionalFormatting>
  <conditionalFormatting sqref="F89:N89">
    <cfRule type="containsText" dxfId="6423" priority="1806" operator="containsText" text="PRIORIDAD">
      <formula>NOT(ISERROR(SEARCH("PRIORIDAD",F89)))</formula>
    </cfRule>
  </conditionalFormatting>
  <conditionalFormatting sqref="F90:N90">
    <cfRule type="containsText" dxfId="6422" priority="1150" operator="containsText" text="PRIORIDAD">
      <formula>NOT(ISERROR(SEARCH("PRIORIDAD",F90)))</formula>
    </cfRule>
  </conditionalFormatting>
  <conditionalFormatting sqref="F91:N91">
    <cfRule type="containsText" dxfId="6421" priority="977" operator="containsText" text="PRIORIDAD">
      <formula>NOT(ISERROR(SEARCH("PRIORIDAD",F91)))</formula>
    </cfRule>
  </conditionalFormatting>
  <conditionalFormatting sqref="F92:N92">
    <cfRule type="containsText" dxfId="6420" priority="836" operator="containsText" text="PRIORIDAD">
      <formula>NOT(ISERROR(SEARCH("PRIORIDAD",F92)))</formula>
    </cfRule>
  </conditionalFormatting>
  <conditionalFormatting sqref="F78:O78">
    <cfRule type="containsText" dxfId="6419" priority="1665" operator="containsText" text="PRIORIDAD">
      <formula>NOT(ISERROR(SEARCH("PRIORIDAD",F78)))</formula>
    </cfRule>
  </conditionalFormatting>
  <conditionalFormatting sqref="G11">
    <cfRule type="containsText" dxfId="6418" priority="8110" operator="containsText" text="ENTREGADO">
      <formula>NOT(ISERROR(SEARCH("ENTREGADO",G11)))</formula>
    </cfRule>
  </conditionalFormatting>
  <conditionalFormatting sqref="G8:H8 J8:N8">
    <cfRule type="containsText" dxfId="6417" priority="13628" operator="containsText" text="PENDIENTE">
      <formula>NOT(ISERROR(SEARCH("PENDIENTE",#REF!)))</formula>
    </cfRule>
    <cfRule type="containsText" dxfId="6416" priority="13627" operator="containsText" text="ENTREGADO">
      <formula>NOT(ISERROR(SEARCH("ENTREGADO",G8)))</formula>
    </cfRule>
    <cfRule type="containsText" dxfId="6415" priority="13626" operator="containsText" text="ENTREGADO">
      <formula>NOT(ISERROR(SEARCH("ENTREGADO",#REF!)))</formula>
    </cfRule>
    <cfRule type="containsText" dxfId="6414" priority="13629" operator="containsText" text="PENDIENTE">
      <formula>NOT(ISERROR(SEARCH("PENDIENTE",G8)))</formula>
    </cfRule>
  </conditionalFormatting>
  <conditionalFormatting sqref="G9:H9">
    <cfRule type="containsText" dxfId="6413" priority="9499" operator="containsText" text="PENDIENTE">
      <formula>NOT(ISERROR(SEARCH("PENDIENTE",G9)))</formula>
    </cfRule>
    <cfRule type="containsText" dxfId="6412" priority="9497" operator="containsText" text="ENTREGADO">
      <formula>NOT(ISERROR(SEARCH("ENTREGADO",G9)))</formula>
    </cfRule>
  </conditionalFormatting>
  <conditionalFormatting sqref="G10:H10">
    <cfRule type="containsText" dxfId="6411" priority="8133" operator="containsText" text="ENTREGADO">
      <formula>NOT(ISERROR(SEARCH("ENTREGADO",G10)))</formula>
    </cfRule>
    <cfRule type="containsText" dxfId="6410" priority="8135" operator="containsText" text="PENDIENTE">
      <formula>NOT(ISERROR(SEARCH("PENDIENTE",G10)))</formula>
    </cfRule>
  </conditionalFormatting>
  <conditionalFormatting sqref="G12:H12 J12">
    <cfRule type="containsText" dxfId="6409" priority="8757" operator="containsText" text="PENDIENTE">
      <formula>NOT(ISERROR(SEARCH("PENDIENTE",#REF!)))</formula>
    </cfRule>
  </conditionalFormatting>
  <conditionalFormatting sqref="G12:H12">
    <cfRule type="containsText" dxfId="6408" priority="8759" operator="containsText" text="PRIORIDAD">
      <formula>NOT(ISERROR(SEARCH("PRIORIDAD",G12)))</formula>
    </cfRule>
  </conditionalFormatting>
  <conditionalFormatting sqref="G12:H17 J12:J17">
    <cfRule type="containsText" dxfId="6407" priority="8310" operator="containsText" text="ENTREGADO">
      <formula>NOT(ISERROR(SEARCH("ENTREGADO",#REF!)))</formula>
    </cfRule>
    <cfRule type="containsText" dxfId="6406" priority="8313" operator="containsText" text="PENDIENTE">
      <formula>NOT(ISERROR(SEARCH("PENDIENTE",G12)))</formula>
    </cfRule>
    <cfRule type="containsText" dxfId="6405" priority="8311" operator="containsText" text="ENTREGADO">
      <formula>NOT(ISERROR(SEARCH("ENTREGADO",G12)))</formula>
    </cfRule>
  </conditionalFormatting>
  <conditionalFormatting sqref="G18:H18">
    <cfRule type="containsText" dxfId="6404" priority="10383" operator="containsText" text="ENTREGADO">
      <formula>NOT(ISERROR(SEARCH("ENTREGADO",G18)))</formula>
    </cfRule>
  </conditionalFormatting>
  <conditionalFormatting sqref="G20:H22">
    <cfRule type="containsText" dxfId="6403" priority="10671" operator="containsText" text="ENTREGADO">
      <formula>NOT(ISERROR(SEARCH("ENTREGADO",G20)))</formula>
    </cfRule>
  </conditionalFormatting>
  <conditionalFormatting sqref="G23:H23">
    <cfRule type="containsText" dxfId="6402" priority="6902" operator="containsText" text="ENTREGADO">
      <formula>NOT(ISERROR(SEARCH("ENTREGADO",G23)))</formula>
    </cfRule>
  </conditionalFormatting>
  <conditionalFormatting sqref="G27:H27 J27:N27 A27">
    <cfRule type="containsText" dxfId="6401" priority="12349" operator="containsText" text="PENDIENTE">
      <formula>NOT(ISERROR(SEARCH("PENDIENTE",A27)))</formula>
    </cfRule>
  </conditionalFormatting>
  <conditionalFormatting sqref="G27:H27 J27:N27">
    <cfRule type="containsText" dxfId="6400" priority="12360" operator="containsText" text="ENTREGADO">
      <formula>NOT(ISERROR(SEARCH("ENTREGADO",#REF!)))</formula>
    </cfRule>
    <cfRule type="containsText" dxfId="6399" priority="12344" operator="containsText" text="ENTREGADO">
      <formula>NOT(ISERROR(SEARCH("ENTREGADO",#REF!)))</formula>
    </cfRule>
    <cfRule type="containsText" dxfId="6398" priority="12346" operator="containsText" text="PENDIENTE">
      <formula>NOT(ISERROR(SEARCH("PENDIENTE",#REF!)))</formula>
    </cfRule>
    <cfRule type="containsText" dxfId="6397" priority="12345" operator="containsText" text="ENTREGADO">
      <formula>NOT(ISERROR(SEARCH("ENTREGADO",G27)))</formula>
    </cfRule>
  </conditionalFormatting>
  <conditionalFormatting sqref="G28:H28 J28:M28 A28">
    <cfRule type="containsText" dxfId="6396" priority="23194" operator="containsText" text="PENDIENTE">
      <formula>NOT(ISERROR(SEARCH("PENDIENTE",A28)))</formula>
    </cfRule>
  </conditionalFormatting>
  <conditionalFormatting sqref="G28:H28 J28:M28">
    <cfRule type="containsText" dxfId="6395" priority="23191" operator="containsText" text="ENTREGADO">
      <formula>NOT(ISERROR(SEARCH("ENTREGADO",#REF!)))</formula>
    </cfRule>
    <cfRule type="containsText" dxfId="6394" priority="23205" operator="containsText" text="ENTREGADO">
      <formula>NOT(ISERROR(SEARCH("ENTREGADO",#REF!)))</formula>
    </cfRule>
    <cfRule type="containsText" dxfId="6393" priority="23193" operator="containsText" text="PENDIENTE">
      <formula>NOT(ISERROR(SEARCH("PENDIENTE",#REF!)))</formula>
    </cfRule>
    <cfRule type="containsText" dxfId="6392" priority="23192" operator="containsText" text="ENTREGADO">
      <formula>NOT(ISERROR(SEARCH("ENTREGADO",G28)))</formula>
    </cfRule>
  </conditionalFormatting>
  <conditionalFormatting sqref="G29:H29 K29:N29">
    <cfRule type="containsText" dxfId="6391" priority="20627" operator="containsText" text="PENDIENTE">
      <formula>NOT(ISERROR(SEARCH("PENDIENTE",#REF!)))</formula>
    </cfRule>
    <cfRule type="containsText" dxfId="6390" priority="20641" operator="containsText" text="ENTREGADO">
      <formula>NOT(ISERROR(SEARCH("ENTREGADO",#REF!)))</formula>
    </cfRule>
    <cfRule type="containsText" dxfId="6389" priority="20630" operator="containsText" text="PENDIENTE">
      <formula>NOT(ISERROR(SEARCH("PENDIENTE",G29)))</formula>
    </cfRule>
    <cfRule type="containsText" dxfId="6388" priority="20626" operator="containsText" text="ENTREGADO">
      <formula>NOT(ISERROR(SEARCH("ENTREGADO",G29)))</formula>
    </cfRule>
    <cfRule type="containsText" dxfId="6387" priority="20625" operator="containsText" text="ENTREGADO">
      <formula>NOT(ISERROR(SEARCH("ENTREGADO",#REF!)))</formula>
    </cfRule>
  </conditionalFormatting>
  <conditionalFormatting sqref="G29:H29 P29 K29:N29">
    <cfRule type="containsText" dxfId="6386" priority="20631" operator="containsText" text="ENTREGADO">
      <formula>NOT(ISERROR(SEARCH("ENTREGADO",G29)))</formula>
    </cfRule>
  </conditionalFormatting>
  <conditionalFormatting sqref="G30:H30 K30:N30 P30 T30 V30:X30 BC30 BH30:XFD30">
    <cfRule type="containsText" dxfId="6385" priority="19015" operator="containsText" text="PRIORIDAD">
      <formula>NOT(ISERROR(SEARCH("PRIORIDAD",G30)))</formula>
    </cfRule>
  </conditionalFormatting>
  <conditionalFormatting sqref="G30:H30 K30:N30">
    <cfRule type="containsText" dxfId="6384" priority="19045" operator="containsText" text="PENDIENTE">
      <formula>NOT(ISERROR(SEARCH("PENDIENTE",G30)))</formula>
    </cfRule>
    <cfRule type="containsText" dxfId="6383" priority="19040" operator="containsText" text="ENTREGADO">
      <formula>NOT(ISERROR(SEARCH("ENTREGADO",#REF!)))</formula>
    </cfRule>
    <cfRule type="containsText" dxfId="6382" priority="19041" operator="containsText" text="ENTREGADO">
      <formula>NOT(ISERROR(SEARCH("ENTREGADO",G30)))</formula>
    </cfRule>
    <cfRule type="containsText" dxfId="6381" priority="19056" operator="containsText" text="ENTREGADO">
      <formula>NOT(ISERROR(SEARCH("ENTREGADO",#REF!)))</formula>
    </cfRule>
  </conditionalFormatting>
  <conditionalFormatting sqref="G30:H30 P30 K30:N30">
    <cfRule type="containsText" dxfId="6380" priority="19046" operator="containsText" text="ENTREGADO">
      <formula>NOT(ISERROR(SEARCH("ENTREGADO",G30)))</formula>
    </cfRule>
  </conditionalFormatting>
  <conditionalFormatting sqref="G32:H32 J32:N32 P32 T32:X32 BC32 BH32:XFD32">
    <cfRule type="containsText" dxfId="6379" priority="19896" operator="containsText" text="PRIORIDAD">
      <formula>NOT(ISERROR(SEARCH("PRIORIDAD",G32)))</formula>
    </cfRule>
  </conditionalFormatting>
  <conditionalFormatting sqref="G32:H32 J32:N32">
    <cfRule type="containsText" dxfId="6378" priority="19937" operator="containsText" text="ENTREGADO">
      <formula>NOT(ISERROR(SEARCH("ENTREGADO",#REF!)))</formula>
    </cfRule>
    <cfRule type="containsText" dxfId="6377" priority="19926" operator="containsText" text="PENDIENTE">
      <formula>NOT(ISERROR(SEARCH("PENDIENTE",G32)))</formula>
    </cfRule>
    <cfRule type="containsText" dxfId="6376" priority="19923" operator="containsText" text="PENDIENTE">
      <formula>NOT(ISERROR(SEARCH("PENDIENTE",#REF!)))</formula>
    </cfRule>
    <cfRule type="containsText" dxfId="6375" priority="19922" operator="containsText" text="ENTREGADO">
      <formula>NOT(ISERROR(SEARCH("ENTREGADO",G32)))</formula>
    </cfRule>
    <cfRule type="containsText" dxfId="6374" priority="19921" operator="containsText" text="ENTREGADO">
      <formula>NOT(ISERROR(SEARCH("ENTREGADO",#REF!)))</formula>
    </cfRule>
  </conditionalFormatting>
  <conditionalFormatting sqref="G32:H32 P32 J32:N32">
    <cfRule type="containsText" dxfId="6373" priority="19927" operator="containsText" text="ENTREGADO">
      <formula>NOT(ISERROR(SEARCH("ENTREGADO",G32)))</formula>
    </cfRule>
  </conditionalFormatting>
  <conditionalFormatting sqref="G34:H34 J34:N34">
    <cfRule type="containsText" dxfId="6372" priority="20274" operator="containsText" text="ENTREGADO">
      <formula>NOT(ISERROR(SEARCH("ENTREGADO",G34)))</formula>
    </cfRule>
    <cfRule type="containsText" dxfId="6371" priority="20289" operator="containsText" text="ENTREGADO">
      <formula>NOT(ISERROR(SEARCH("ENTREGADO",#REF!)))</formula>
    </cfRule>
    <cfRule type="containsText" dxfId="6370" priority="20278" operator="containsText" text="PENDIENTE">
      <formula>NOT(ISERROR(SEARCH("PENDIENTE",G34)))</formula>
    </cfRule>
    <cfRule type="containsText" dxfId="6369" priority="20275" operator="containsText" text="PENDIENTE">
      <formula>NOT(ISERROR(SEARCH("PENDIENTE",#REF!)))</formula>
    </cfRule>
    <cfRule type="containsText" dxfId="6368" priority="20273" operator="containsText" text="ENTREGADO">
      <formula>NOT(ISERROR(SEARCH("ENTREGADO",#REF!)))</formula>
    </cfRule>
  </conditionalFormatting>
  <conditionalFormatting sqref="G34:H34 P34 J34:N34">
    <cfRule type="containsText" dxfId="6367" priority="20279" operator="containsText" text="ENTREGADO">
      <formula>NOT(ISERROR(SEARCH("ENTREGADO",G34)))</formula>
    </cfRule>
  </conditionalFormatting>
  <conditionalFormatting sqref="G39:H39 J39:N39 A39">
    <cfRule type="containsText" dxfId="6366" priority="4262" operator="containsText" text="PENDIENTE">
      <formula>NOT(ISERROR(SEARCH("PENDIENTE",A39)))</formula>
    </cfRule>
  </conditionalFormatting>
  <conditionalFormatting sqref="G39:H39 J39:N39">
    <cfRule type="containsText" dxfId="6365" priority="4260" operator="containsText" text="ENTREGADO">
      <formula>NOT(ISERROR(SEARCH("ENTREGADO",G39)))</formula>
    </cfRule>
    <cfRule type="containsText" dxfId="6364" priority="4261" operator="containsText" text="PENDIENTE">
      <formula>NOT(ISERROR(SEARCH("PENDIENTE",#REF!)))</formula>
    </cfRule>
    <cfRule type="containsText" dxfId="6363" priority="4259" operator="containsText" text="ENTREGADO">
      <formula>NOT(ISERROR(SEARCH("ENTREGADO",#REF!)))</formula>
    </cfRule>
    <cfRule type="containsText" dxfId="6362" priority="4272" operator="containsText" text="ENTREGADO">
      <formula>NOT(ISERROR(SEARCH("ENTREGADO",#REF!)))</formula>
    </cfRule>
  </conditionalFormatting>
  <conditionalFormatting sqref="G40:H40 J40:N40 P40 T40:X40 BC40 BH40:XFD40 P35:P38">
    <cfRule type="containsText" dxfId="6361" priority="7254" operator="containsText" text="PRIORIDAD">
      <formula>NOT(ISERROR(SEARCH("PRIORIDAD",G35)))</formula>
    </cfRule>
  </conditionalFormatting>
  <conditionalFormatting sqref="G40:H40 J40:N40">
    <cfRule type="containsText" dxfId="6360" priority="7291" operator="containsText" text="ENTREGADO">
      <formula>NOT(ISERROR(SEARCH("ENTREGADO",#REF!)))</formula>
    </cfRule>
    <cfRule type="containsText" dxfId="6359" priority="7279" operator="containsText" text="PENDIENTE">
      <formula>NOT(ISERROR(SEARCH("PENDIENTE",#REF!)))</formula>
    </cfRule>
    <cfRule type="containsText" dxfId="6358" priority="7278" operator="containsText" text="ENTREGADO">
      <formula>NOT(ISERROR(SEARCH("ENTREGADO",G40)))</formula>
    </cfRule>
    <cfRule type="containsText" dxfId="6357" priority="7277" operator="containsText" text="ENTREGADO">
      <formula>NOT(ISERROR(SEARCH("ENTREGADO",#REF!)))</formula>
    </cfRule>
    <cfRule type="containsText" dxfId="6356" priority="7280" operator="containsText" text="PENDIENTE">
      <formula>NOT(ISERROR(SEARCH("PENDIENTE",G40)))</formula>
    </cfRule>
  </conditionalFormatting>
  <conditionalFormatting sqref="G40:H40 P40 J40:N40">
    <cfRule type="containsText" dxfId="6355" priority="7281" operator="containsText" text="ENTREGADO">
      <formula>NOT(ISERROR(SEARCH("ENTREGADO",G40)))</formula>
    </cfRule>
  </conditionalFormatting>
  <conditionalFormatting sqref="G40:H40 BB40 J40:N40">
    <cfRule type="containsText" dxfId="6354" priority="7245" operator="containsText" text="PENDIENTE">
      <formula>NOT(ISERROR(SEARCH("PENDIENTE",#REF!)))</formula>
    </cfRule>
  </conditionalFormatting>
  <conditionalFormatting sqref="G41:H41 J41:N41">
    <cfRule type="containsText" dxfId="6353" priority="3891" operator="containsText" text="ENTREGADO">
      <formula>NOT(ISERROR(SEARCH("ENTREGADO",#REF!)))</formula>
    </cfRule>
    <cfRule type="containsText" dxfId="6352" priority="3892" operator="containsText" text="ENTREGADO">
      <formula>NOT(ISERROR(SEARCH("ENTREGADO",G41)))</formula>
    </cfRule>
    <cfRule type="containsText" dxfId="6351" priority="3893" operator="containsText" text="PENDIENTE">
      <formula>NOT(ISERROR(SEARCH("PENDIENTE",#REF!)))</formula>
    </cfRule>
    <cfRule type="containsText" dxfId="6350" priority="3894" operator="containsText" text="PENDIENTE">
      <formula>NOT(ISERROR(SEARCH("PENDIENTE",G41)))</formula>
    </cfRule>
    <cfRule type="containsText" dxfId="6349" priority="3904" operator="containsText" text="ENTREGADO">
      <formula>NOT(ISERROR(SEARCH("ENTREGADO",#REF!)))</formula>
    </cfRule>
  </conditionalFormatting>
  <conditionalFormatting sqref="G41:H41 P41 J41:N41">
    <cfRule type="containsText" dxfId="6348" priority="3895" operator="containsText" text="ENTREGADO">
      <formula>NOT(ISERROR(SEARCH("ENTREGADO",G41)))</formula>
    </cfRule>
  </conditionalFormatting>
  <conditionalFormatting sqref="G71:H71">
    <cfRule type="containsText" dxfId="6347" priority="9855" operator="containsText" text="PENDIENTE">
      <formula>NOT(ISERROR(SEARCH("PENDIENTE",#REF!)))</formula>
    </cfRule>
  </conditionalFormatting>
  <conditionalFormatting sqref="G71:H74">
    <cfRule type="containsText" dxfId="6346" priority="6493" operator="containsText" text="ENTREGADO">
      <formula>NOT(ISERROR(SEARCH("ENTREGADO",G71)))</formula>
    </cfRule>
    <cfRule type="containsText" dxfId="6345" priority="6486" operator="containsText" text="ENTREGADO">
      <formula>NOT(ISERROR(SEARCH("ENTREGADO",G71)))</formula>
    </cfRule>
  </conditionalFormatting>
  <conditionalFormatting sqref="G72:H72">
    <cfRule type="containsText" dxfId="6344" priority="6749" operator="containsText" text="PENDIENTE">
      <formula>NOT(ISERROR(SEARCH("PENDIENTE",#REF!)))</formula>
    </cfRule>
  </conditionalFormatting>
  <conditionalFormatting sqref="G73:H73">
    <cfRule type="containsText" dxfId="6343" priority="6622" operator="containsText" text="PENDIENTE">
      <formula>NOT(ISERROR(SEARCH("PENDIENTE",#REF!)))</formula>
    </cfRule>
  </conditionalFormatting>
  <conditionalFormatting sqref="G74:H74">
    <cfRule type="containsText" dxfId="6342" priority="6494" operator="containsText" text="PENDIENTE">
      <formula>NOT(ISERROR(SEARCH("PENDIENTE",#REF!)))</formula>
    </cfRule>
  </conditionalFormatting>
  <conditionalFormatting sqref="G77:H77 J77:N77">
    <cfRule type="containsText" dxfId="6341" priority="2142" operator="containsText" text="ENTREGADO">
      <formula>NOT(ISERROR(SEARCH("ENTREGADO",G77)))</formula>
    </cfRule>
    <cfRule type="containsText" dxfId="6340" priority="2141" operator="containsText" text="ENTREGADO">
      <formula>NOT(ISERROR(SEARCH("ENTREGADO",#REF!)))</formula>
    </cfRule>
    <cfRule type="containsText" dxfId="6339" priority="2154" operator="containsText" text="ENTREGADO">
      <formula>NOT(ISERROR(SEARCH("ENTREGADO",#REF!)))</formula>
    </cfRule>
    <cfRule type="containsText" dxfId="6338" priority="2145" operator="containsText" text="ENTREGADO">
      <formula>NOT(ISERROR(SEARCH("ENTREGADO",G77)))</formula>
    </cfRule>
    <cfRule type="containsText" dxfId="6337" priority="2144" operator="containsText" text="PENDIENTE">
      <formula>NOT(ISERROR(SEARCH("PENDIENTE",G77)))</formula>
    </cfRule>
    <cfRule type="containsText" dxfId="6336" priority="2143" operator="containsText" text="PENDIENTE">
      <formula>NOT(ISERROR(SEARCH("PENDIENTE",#REF!)))</formula>
    </cfRule>
  </conditionalFormatting>
  <conditionalFormatting sqref="G5:I5 T5:X5 BH5:XFD5">
    <cfRule type="containsText" dxfId="6335" priority="15905" operator="containsText" text="PENDIENTE">
      <formula>NOT(ISERROR(SEARCH("PENDIENTE",#REF!)))</formula>
    </cfRule>
  </conditionalFormatting>
  <conditionalFormatting sqref="G5:I5">
    <cfRule type="containsText" dxfId="6334" priority="15901" operator="containsText" text="ENTREGADO">
      <formula>NOT(ISERROR(SEARCH("ENTREGADO",G5)))</formula>
    </cfRule>
  </conditionalFormatting>
  <conditionalFormatting sqref="G6:I6 C7 G7:H7 G19:H19">
    <cfRule type="containsText" dxfId="6333" priority="14453" operator="containsText" text="ENTREGADO">
      <formula>NOT(ISERROR(SEARCH("ENTREGADO",C6)))</formula>
    </cfRule>
  </conditionalFormatting>
  <conditionalFormatting sqref="G4:N4">
    <cfRule type="containsText" dxfId="6332" priority="18830" operator="containsText" text="ENTREGADO">
      <formula>NOT(ISERROR(SEARCH("ENTREGADO",G4)))</formula>
    </cfRule>
    <cfRule type="containsText" dxfId="6331" priority="18831" operator="containsText" text="PENDIENTE">
      <formula>NOT(ISERROR(SEARCH("PENDIENTE",#REF!)))</formula>
    </cfRule>
  </conditionalFormatting>
  <conditionalFormatting sqref="H9 J9">
    <cfRule type="containsText" dxfId="6330" priority="9498" operator="containsText" text="PENDIENTE">
      <formula>NOT(ISERROR(SEARCH("PENDIENTE",#REF!)))</formula>
    </cfRule>
  </conditionalFormatting>
  <conditionalFormatting sqref="H9">
    <cfRule type="containsText" dxfId="6329" priority="9500" operator="containsText" text="PRIORIDAD">
      <formula>NOT(ISERROR(SEARCH("PRIORIDAD",H9)))</formula>
    </cfRule>
    <cfRule type="containsText" dxfId="6328" priority="9496" operator="containsText" text="ENTREGADO">
      <formula>NOT(ISERROR(SEARCH("ENTREGADO",#REF!)))</formula>
    </cfRule>
    <cfRule type="containsText" dxfId="6327" priority="9501" operator="containsText" text="ENTREGADO">
      <formula>NOT(ISERROR(SEARCH("ENTREGADO",H9)))</formula>
    </cfRule>
  </conditionalFormatting>
  <conditionalFormatting sqref="H10">
    <cfRule type="containsText" dxfId="6326" priority="8134" operator="containsText" text="PENDIENTE">
      <formula>NOT(ISERROR(SEARCH("PENDIENTE",#REF!)))</formula>
    </cfRule>
    <cfRule type="containsText" dxfId="6325" priority="8136" operator="containsText" text="PRIORIDAD">
      <formula>NOT(ISERROR(SEARCH("PRIORIDAD",H10)))</formula>
    </cfRule>
    <cfRule type="containsText" dxfId="6324" priority="8137" operator="containsText" text="ENTREGADO">
      <formula>NOT(ISERROR(SEARCH("ENTREGADO",H10)))</formula>
    </cfRule>
  </conditionalFormatting>
  <conditionalFormatting sqref="H10:H11">
    <cfRule type="containsText" dxfId="6323" priority="8043" operator="containsText" text="ENTREGADO">
      <formula>NOT(ISERROR(SEARCH("ENTREGADO",#REF!)))</formula>
    </cfRule>
  </conditionalFormatting>
  <conditionalFormatting sqref="H11">
    <cfRule type="containsText" dxfId="6322" priority="8044" operator="containsText" text="ENTREGADO">
      <formula>NOT(ISERROR(SEARCH("ENTREGADO",H11)))</formula>
    </cfRule>
    <cfRule type="containsText" dxfId="6321" priority="8046" operator="containsText" text="PENDIENTE">
      <formula>NOT(ISERROR(SEARCH("PENDIENTE",H11)))</formula>
    </cfRule>
    <cfRule type="containsText" dxfId="6320" priority="8047" operator="containsText" text="PRIORIDAD">
      <formula>NOT(ISERROR(SEARCH("PRIORIDAD",H11)))</formula>
    </cfRule>
    <cfRule type="containsText" dxfId="6319" priority="8045" operator="containsText" text="PENDIENTE">
      <formula>NOT(ISERROR(SEARCH("PENDIENTE",#REF!)))</formula>
    </cfRule>
    <cfRule type="containsText" dxfId="6318" priority="8048" operator="containsText" text="ENTREGADO">
      <formula>NOT(ISERROR(SEARCH("ENTREGADO",H11)))</formula>
    </cfRule>
  </conditionalFormatting>
  <conditionalFormatting sqref="H12 J24:J26">
    <cfRule type="containsText" dxfId="6317" priority="8760" operator="containsText" text="ENTREGADO">
      <formula>NOT(ISERROR(SEARCH("ENTREGADO",H12)))</formula>
    </cfRule>
  </conditionalFormatting>
  <conditionalFormatting sqref="H13">
    <cfRule type="containsText" dxfId="6316" priority="8671" operator="containsText" text="ENTREGADO">
      <formula>NOT(ISERROR(SEARCH("ENTREGADO",H13)))</formula>
    </cfRule>
    <cfRule type="containsText" dxfId="6315" priority="8668" operator="containsText" text="PENDIENTE">
      <formula>NOT(ISERROR(SEARCH("PENDIENTE",#REF!)))</formula>
    </cfRule>
    <cfRule type="containsText" dxfId="6314" priority="8670" operator="containsText" text="PRIORIDAD">
      <formula>NOT(ISERROR(SEARCH("PRIORIDAD",H13)))</formula>
    </cfRule>
  </conditionalFormatting>
  <conditionalFormatting sqref="H14">
    <cfRule type="containsText" dxfId="6313" priority="8582" operator="containsText" text="ENTREGADO">
      <formula>NOT(ISERROR(SEARCH("ENTREGADO",H14)))</formula>
    </cfRule>
    <cfRule type="containsText" dxfId="6312" priority="8579" operator="containsText" text="PENDIENTE">
      <formula>NOT(ISERROR(SEARCH("PENDIENTE",#REF!)))</formula>
    </cfRule>
    <cfRule type="containsText" dxfId="6311" priority="8581" operator="containsText" text="PRIORIDAD">
      <formula>NOT(ISERROR(SEARCH("PRIORIDAD",H14)))</formula>
    </cfRule>
  </conditionalFormatting>
  <conditionalFormatting sqref="H15">
    <cfRule type="containsText" dxfId="6310" priority="8490" operator="containsText" text="PENDIENTE">
      <formula>NOT(ISERROR(SEARCH("PENDIENTE",#REF!)))</formula>
    </cfRule>
    <cfRule type="containsText" dxfId="6309" priority="8492" operator="containsText" text="PRIORIDAD">
      <formula>NOT(ISERROR(SEARCH("PRIORIDAD",H15)))</formula>
    </cfRule>
    <cfRule type="containsText" dxfId="6308" priority="8493" operator="containsText" text="ENTREGADO">
      <formula>NOT(ISERROR(SEARCH("ENTREGADO",H15)))</formula>
    </cfRule>
  </conditionalFormatting>
  <conditionalFormatting sqref="H16">
    <cfRule type="containsText" dxfId="6307" priority="8404" operator="containsText" text="ENTREGADO">
      <formula>NOT(ISERROR(SEARCH("ENTREGADO",H16)))</formula>
    </cfRule>
    <cfRule type="containsText" dxfId="6306" priority="8401" operator="containsText" text="PENDIENTE">
      <formula>NOT(ISERROR(SEARCH("PENDIENTE",#REF!)))</formula>
    </cfRule>
    <cfRule type="containsText" dxfId="6305" priority="8403" operator="containsText" text="PRIORIDAD">
      <formula>NOT(ISERROR(SEARCH("PRIORIDAD",H16)))</formula>
    </cfRule>
  </conditionalFormatting>
  <conditionalFormatting sqref="H17">
    <cfRule type="containsText" dxfId="6304" priority="8314" operator="containsText" text="PRIORIDAD">
      <formula>NOT(ISERROR(SEARCH("PRIORIDAD",H17)))</formula>
    </cfRule>
    <cfRule type="containsText" dxfId="6303" priority="8315" operator="containsText" text="ENTREGADO">
      <formula>NOT(ISERROR(SEARCH("ENTREGADO",H17)))</formula>
    </cfRule>
    <cfRule type="containsText" dxfId="6302" priority="8312" operator="containsText" text="PENDIENTE">
      <formula>NOT(ISERROR(SEARCH("PENDIENTE",#REF!)))</formula>
    </cfRule>
  </conditionalFormatting>
  <conditionalFormatting sqref="I7:I38 I40 F42:N45 F50:N50 I62:I69 F71:N74">
    <cfRule type="containsText" dxfId="6301" priority="5849" operator="containsText" text="PRIORIDAD">
      <formula>NOT(ISERROR(SEARCH("PRIORIDAD",F7)))</formula>
    </cfRule>
  </conditionalFormatting>
  <conditionalFormatting sqref="I7:I38 I71:I74 I40 I56:I58 I42:I45 I50:I54 I62:I69">
    <cfRule type="containsText" dxfId="6300" priority="5850" operator="containsText" text="ENTREGADO">
      <formula>NOT(ISERROR(SEARCH("ENTREGADO",I7)))</formula>
    </cfRule>
    <cfRule type="containsText" dxfId="6299" priority="5845" operator="containsText" text="ENTREGADO">
      <formula>NOT(ISERROR(SEARCH("ENTREGADO",#REF!)))</formula>
    </cfRule>
    <cfRule type="containsText" dxfId="6298" priority="5847" operator="containsText" text="PENDIENTE">
      <formula>NOT(ISERROR(SEARCH("PENDIENTE",#REF!)))</formula>
    </cfRule>
    <cfRule type="containsText" dxfId="6297" priority="5848" operator="containsText" text="PENDIENTE">
      <formula>NOT(ISERROR(SEARCH("PENDIENTE",I7)))</formula>
    </cfRule>
  </conditionalFormatting>
  <conditionalFormatting sqref="I7:I38 I71:I74 I50 I40 I42:I45 I62:I69">
    <cfRule type="containsText" dxfId="6296" priority="5846" operator="containsText" text="ENTREGADO">
      <formula>NOT(ISERROR(SEARCH("ENTREGADO",I7)))</formula>
    </cfRule>
  </conditionalFormatting>
  <conditionalFormatting sqref="I39">
    <cfRule type="containsText" dxfId="6295" priority="3993" operator="containsText" text="ENTREGADO">
      <formula>NOT(ISERROR(SEARCH("ENTREGADO",I39)))</formula>
    </cfRule>
    <cfRule type="containsText" dxfId="6294" priority="3992" operator="containsText" text="ENTREGADO">
      <formula>NOT(ISERROR(SEARCH("ENTREGADO",#REF!)))</formula>
    </cfRule>
    <cfRule type="containsText" dxfId="6293" priority="3994" operator="containsText" text="PENDIENTE">
      <formula>NOT(ISERROR(SEARCH("PENDIENTE",#REF!)))</formula>
    </cfRule>
    <cfRule type="containsText" dxfId="6292" priority="3995" operator="containsText" text="PENDIENTE">
      <formula>NOT(ISERROR(SEARCH("PENDIENTE",I39)))</formula>
    </cfRule>
    <cfRule type="containsText" dxfId="6291" priority="3996" operator="containsText" text="PRIORIDAD">
      <formula>NOT(ISERROR(SEARCH("PRIORIDAD",I39)))</formula>
    </cfRule>
    <cfRule type="containsText" dxfId="6290" priority="3997" operator="containsText" text="ENTREGADO">
      <formula>NOT(ISERROR(SEARCH("ENTREGADO",I39)))</formula>
    </cfRule>
  </conditionalFormatting>
  <conditionalFormatting sqref="I41">
    <cfRule type="containsText" dxfId="6289" priority="3657" operator="containsText" text="ENTREGADO">
      <formula>NOT(ISERROR(SEARCH("ENTREGADO",#REF!)))</formula>
    </cfRule>
    <cfRule type="containsText" dxfId="6288" priority="3658" operator="containsText" text="ENTREGADO">
      <formula>NOT(ISERROR(SEARCH("ENTREGADO",I41)))</formula>
    </cfRule>
    <cfRule type="containsText" dxfId="6287" priority="3661" operator="containsText" text="PRIORIDAD">
      <formula>NOT(ISERROR(SEARCH("PRIORIDAD",I41)))</formula>
    </cfRule>
    <cfRule type="containsText" dxfId="6286" priority="3659" operator="containsText" text="PENDIENTE">
      <formula>NOT(ISERROR(SEARCH("PENDIENTE",#REF!)))</formula>
    </cfRule>
    <cfRule type="containsText" dxfId="6285" priority="3660" operator="containsText" text="PENDIENTE">
      <formula>NOT(ISERROR(SEARCH("PENDIENTE",I41)))</formula>
    </cfRule>
    <cfRule type="containsText" dxfId="6284" priority="3662" operator="containsText" text="ENTREGADO">
      <formula>NOT(ISERROR(SEARCH("ENTREGADO",I41)))</formula>
    </cfRule>
  </conditionalFormatting>
  <conditionalFormatting sqref="I46:I49">
    <cfRule type="containsText" dxfId="6283" priority="4304" operator="containsText" text="ENTREGADO">
      <formula>NOT(ISERROR(SEARCH("ENTREGADO",I46)))</formula>
    </cfRule>
    <cfRule type="containsText" dxfId="6282" priority="4303" operator="containsText" text="ENTREGADO">
      <formula>NOT(ISERROR(SEARCH("ENTREGADO",#REF!)))</formula>
    </cfRule>
    <cfRule type="containsText" dxfId="6281" priority="4305" operator="containsText" text="PENDIENTE">
      <formula>NOT(ISERROR(SEARCH("PENDIENTE",#REF!)))</formula>
    </cfRule>
    <cfRule type="containsText" dxfId="6280" priority="4306" operator="containsText" text="PENDIENTE">
      <formula>NOT(ISERROR(SEARCH("PENDIENTE",I46)))</formula>
    </cfRule>
    <cfRule type="containsText" dxfId="6279" priority="4308" operator="containsText" text="ENTREGADO">
      <formula>NOT(ISERROR(SEARCH("ENTREGADO",I46)))</formula>
    </cfRule>
  </conditionalFormatting>
  <conditionalFormatting sqref="I55">
    <cfRule type="containsText" dxfId="6278" priority="528" operator="containsText" text="ENTREGADO">
      <formula>NOT(ISERROR(SEARCH("ENTREGADO",I55)))</formula>
    </cfRule>
    <cfRule type="containsText" dxfId="6277" priority="527" operator="containsText" text="PENDIENTE">
      <formula>NOT(ISERROR(SEARCH("PENDIENTE",I55)))</formula>
    </cfRule>
    <cfRule type="containsText" dxfId="6276" priority="526" operator="containsText" text="PENDIENTE">
      <formula>NOT(ISERROR(SEARCH("PENDIENTE",#REF!)))</formula>
    </cfRule>
    <cfRule type="containsText" dxfId="6275" priority="525" operator="containsText" text="ENTREGADO">
      <formula>NOT(ISERROR(SEARCH("ENTREGADO",#REF!)))</formula>
    </cfRule>
  </conditionalFormatting>
  <conditionalFormatting sqref="I59">
    <cfRule type="containsText" dxfId="6274" priority="3431" operator="containsText" text="ENTREGADO">
      <formula>NOT(ISERROR(SEARCH("ENTREGADO",#REF!)))</formula>
    </cfRule>
    <cfRule type="containsText" dxfId="6273" priority="3432" operator="containsText" text="ENTREGADO">
      <formula>NOT(ISERROR(SEARCH("ENTREGADO",I59)))</formula>
    </cfRule>
    <cfRule type="containsText" dxfId="6272" priority="3436" operator="containsText" text="ENTREGADO">
      <formula>NOT(ISERROR(SEARCH("ENTREGADO",I59)))</formula>
    </cfRule>
    <cfRule type="containsText" dxfId="6271" priority="3433" operator="containsText" text="PENDIENTE">
      <formula>NOT(ISERROR(SEARCH("PENDIENTE",#REF!)))</formula>
    </cfRule>
    <cfRule type="containsText" dxfId="6270" priority="3434" operator="containsText" text="PENDIENTE">
      <formula>NOT(ISERROR(SEARCH("PENDIENTE",I59)))</formula>
    </cfRule>
  </conditionalFormatting>
  <conditionalFormatting sqref="I60">
    <cfRule type="containsText" dxfId="6269" priority="4599" operator="containsText" text="ENTREGADO">
      <formula>NOT(ISERROR(SEARCH("ENTREGADO",I60)))</formula>
    </cfRule>
    <cfRule type="containsText" dxfId="6268" priority="4598" operator="containsText" text="ENTREGADO">
      <formula>NOT(ISERROR(SEARCH("ENTREGADO",#REF!)))</formula>
    </cfRule>
    <cfRule type="containsText" dxfId="6267" priority="4600" operator="containsText" text="PENDIENTE">
      <formula>NOT(ISERROR(SEARCH("PENDIENTE",#REF!)))</formula>
    </cfRule>
    <cfRule type="containsText" dxfId="6266" priority="4601" operator="containsText" text="PENDIENTE">
      <formula>NOT(ISERROR(SEARCH("PENDIENTE",I60)))</formula>
    </cfRule>
    <cfRule type="containsText" dxfId="6265" priority="4603" operator="containsText" text="ENTREGADO">
      <formula>NOT(ISERROR(SEARCH("ENTREGADO",I60)))</formula>
    </cfRule>
  </conditionalFormatting>
  <conditionalFormatting sqref="I61">
    <cfRule type="containsText" dxfId="6264" priority="4460" operator="containsText" text="ENTREGADO">
      <formula>NOT(ISERROR(SEARCH("ENTREGADO",I61)))</formula>
    </cfRule>
    <cfRule type="containsText" dxfId="6263" priority="4464" operator="containsText" text="ENTREGADO">
      <formula>NOT(ISERROR(SEARCH("ENTREGADO",I61)))</formula>
    </cfRule>
    <cfRule type="containsText" dxfId="6262" priority="4462" operator="containsText" text="PENDIENTE">
      <formula>NOT(ISERROR(SEARCH("PENDIENTE",I61)))</formula>
    </cfRule>
    <cfRule type="containsText" dxfId="6261" priority="4461" operator="containsText" text="PENDIENTE">
      <formula>NOT(ISERROR(SEARCH("PENDIENTE",#REF!)))</formula>
    </cfRule>
    <cfRule type="containsText" dxfId="6260" priority="4459" operator="containsText" text="ENTREGADO">
      <formula>NOT(ISERROR(SEARCH("ENTREGADO",#REF!)))</formula>
    </cfRule>
  </conditionalFormatting>
  <conditionalFormatting sqref="I70">
    <cfRule type="containsText" dxfId="6259" priority="5721" operator="containsText" text="PENDIENTE">
      <formula>NOT(ISERROR(SEARCH("PENDIENTE",#REF!)))</formula>
    </cfRule>
    <cfRule type="containsText" dxfId="6258" priority="5720" operator="containsText" text="ENTREGADO">
      <formula>NOT(ISERROR(SEARCH("ENTREGADO",I70)))</formula>
    </cfRule>
    <cfRule type="containsText" dxfId="6257" priority="5719" operator="containsText" text="ENTREGADO">
      <formula>NOT(ISERROR(SEARCH("ENTREGADO",#REF!)))</formula>
    </cfRule>
    <cfRule type="containsText" dxfId="6256" priority="5724" operator="containsText" text="ENTREGADO">
      <formula>NOT(ISERROR(SEARCH("ENTREGADO",I70)))</formula>
    </cfRule>
    <cfRule type="containsText" dxfId="6255" priority="5723" operator="containsText" text="PRIORIDAD">
      <formula>NOT(ISERROR(SEARCH("PRIORIDAD",I70)))</formula>
    </cfRule>
    <cfRule type="containsText" dxfId="6254" priority="5722" operator="containsText" text="PENDIENTE">
      <formula>NOT(ISERROR(SEARCH("PENDIENTE",I70)))</formula>
    </cfRule>
  </conditionalFormatting>
  <conditionalFormatting sqref="I75">
    <cfRule type="containsText" dxfId="6253" priority="4741" operator="containsText" text="ENTREGADO">
      <formula>NOT(ISERROR(SEARCH("ENTREGADO",I75)))</formula>
    </cfRule>
    <cfRule type="containsText" dxfId="6252" priority="4738" operator="containsText" text="PENDIENTE">
      <formula>NOT(ISERROR(SEARCH("PENDIENTE",#REF!)))</formula>
    </cfRule>
    <cfRule type="containsText" dxfId="6251" priority="4737" operator="containsText" text="ENTREGADO">
      <formula>NOT(ISERROR(SEARCH("ENTREGADO",I75)))</formula>
    </cfRule>
    <cfRule type="containsText" dxfId="6250" priority="4739" operator="containsText" text="PENDIENTE">
      <formula>NOT(ISERROR(SEARCH("PENDIENTE",I75)))</formula>
    </cfRule>
    <cfRule type="containsText" dxfId="6249" priority="4736" operator="containsText" text="ENTREGADO">
      <formula>NOT(ISERROR(SEARCH("ENTREGADO",#REF!)))</formula>
    </cfRule>
  </conditionalFormatting>
  <conditionalFormatting sqref="I76 I80:I81 I83:I84">
    <cfRule type="containsText" dxfId="6248" priority="2859" operator="containsText" text="ENTREGADO">
      <formula>NOT(ISERROR(SEARCH("ENTREGADO",I76)))</formula>
    </cfRule>
    <cfRule type="containsText" dxfId="6247" priority="2855" operator="containsText" text="ENTREGADO">
      <formula>NOT(ISERROR(SEARCH("ENTREGADO",I76)))</formula>
    </cfRule>
    <cfRule type="containsText" dxfId="6246" priority="2854" operator="containsText" text="ENTREGADO">
      <formula>NOT(ISERROR(SEARCH("ENTREGADO",#REF!)))</formula>
    </cfRule>
    <cfRule type="containsText" dxfId="6245" priority="2856" operator="containsText" text="PENDIENTE">
      <formula>NOT(ISERROR(SEARCH("PENDIENTE",#REF!)))</formula>
    </cfRule>
    <cfRule type="containsText" dxfId="6244" priority="2857" operator="containsText" text="PENDIENTE">
      <formula>NOT(ISERROR(SEARCH("PENDIENTE",I76)))</formula>
    </cfRule>
  </conditionalFormatting>
  <conditionalFormatting sqref="I77">
    <cfRule type="containsText" dxfId="6243" priority="1999" operator="containsText" text="ENTREGADO">
      <formula>NOT(ISERROR(SEARCH("ENTREGADO",I77)))</formula>
    </cfRule>
    <cfRule type="containsText" dxfId="6242" priority="1997" operator="containsText" text="PENDIENTE">
      <formula>NOT(ISERROR(SEARCH("PENDIENTE",I77)))</formula>
    </cfRule>
    <cfRule type="containsText" dxfId="6241" priority="1996" operator="containsText" text="PENDIENTE">
      <formula>NOT(ISERROR(SEARCH("PENDIENTE",#REF!)))</formula>
    </cfRule>
    <cfRule type="containsText" dxfId="6240" priority="1995" operator="containsText" text="ENTREGADO">
      <formula>NOT(ISERROR(SEARCH("ENTREGADO",I77)))</formula>
    </cfRule>
    <cfRule type="containsText" dxfId="6239" priority="1994" operator="containsText" text="ENTREGADO">
      <formula>NOT(ISERROR(SEARCH("ENTREGADO",#REF!)))</formula>
    </cfRule>
    <cfRule type="containsText" dxfId="6238" priority="1998" operator="containsText" text="PRIORIDAD">
      <formula>NOT(ISERROR(SEARCH("PRIORIDAD",I77)))</formula>
    </cfRule>
  </conditionalFormatting>
  <conditionalFormatting sqref="I78">
    <cfRule type="containsText" dxfId="6237" priority="1553" operator="containsText" text="ENTREGADO">
      <formula>NOT(ISERROR(SEARCH("ENTREGADO",#REF!)))</formula>
    </cfRule>
    <cfRule type="containsText" dxfId="6236" priority="1554" operator="containsText" text="PENDIENTE">
      <formula>NOT(ISERROR(SEARCH("PENDIENTE",#REF!)))</formula>
    </cfRule>
    <cfRule type="containsText" dxfId="6235" priority="1555" operator="containsText" text="PENDIENTE">
      <formula>NOT(ISERROR(SEARCH("PENDIENTE",I78)))</formula>
    </cfRule>
    <cfRule type="containsText" dxfId="6234" priority="1556" operator="containsText" text="ENTREGADO">
      <formula>NOT(ISERROR(SEARCH("ENTREGADO",I78)))</formula>
    </cfRule>
  </conditionalFormatting>
  <conditionalFormatting sqref="I79">
    <cfRule type="containsText" dxfId="6233" priority="1460" operator="containsText" text="ENTREGADO">
      <formula>NOT(ISERROR(SEARCH("ENTREGADO",I79)))</formula>
    </cfRule>
    <cfRule type="containsText" dxfId="6232" priority="1459" operator="containsText" text="PRIORIDAD">
      <formula>NOT(ISERROR(SEARCH("PRIORIDAD",I79)))</formula>
    </cfRule>
    <cfRule type="containsText" dxfId="6231" priority="1458" operator="containsText" text="PENDIENTE">
      <formula>NOT(ISERROR(SEARCH("PENDIENTE",I79)))</formula>
    </cfRule>
    <cfRule type="containsText" dxfId="6230" priority="1457" operator="containsText" text="PENDIENTE">
      <formula>NOT(ISERROR(SEARCH("PENDIENTE",#REF!)))</formula>
    </cfRule>
    <cfRule type="containsText" dxfId="6229" priority="1456" operator="containsText" text="ENTREGADO">
      <formula>NOT(ISERROR(SEARCH("ENTREGADO",I79)))</formula>
    </cfRule>
    <cfRule type="containsText" dxfId="6228" priority="1455" operator="containsText" text="ENTREGADO">
      <formula>NOT(ISERROR(SEARCH("ENTREGADO",#REF!)))</formula>
    </cfRule>
  </conditionalFormatting>
  <conditionalFormatting sqref="I82">
    <cfRule type="containsText" dxfId="6227" priority="1310" operator="containsText" text="ENTREGADO">
      <formula>NOT(ISERROR(SEARCH("ENTREGADO",I82)))</formula>
    </cfRule>
    <cfRule type="containsText" dxfId="6226" priority="1311" operator="containsText" text="PENDIENTE">
      <formula>NOT(ISERROR(SEARCH("PENDIENTE",#REF!)))</formula>
    </cfRule>
    <cfRule type="containsText" dxfId="6225" priority="1312" operator="containsText" text="PENDIENTE">
      <formula>NOT(ISERROR(SEARCH("PENDIENTE",I82)))</formula>
    </cfRule>
    <cfRule type="containsText" dxfId="6224" priority="1314" operator="containsText" text="ENTREGADO">
      <formula>NOT(ISERROR(SEARCH("ENTREGADO",I82)))</formula>
    </cfRule>
    <cfRule type="containsText" dxfId="6223" priority="1309" operator="containsText" text="ENTREGADO">
      <formula>NOT(ISERROR(SEARCH("ENTREGADO",#REF!)))</formula>
    </cfRule>
  </conditionalFormatting>
  <conditionalFormatting sqref="I85">
    <cfRule type="containsText" dxfId="6222" priority="2599" operator="containsText" text="PENDIENTE">
      <formula>NOT(ISERROR(SEARCH("PENDIENTE",I85)))</formula>
    </cfRule>
    <cfRule type="containsText" dxfId="6221" priority="2598" operator="containsText" text="PENDIENTE">
      <formula>NOT(ISERROR(SEARCH("PENDIENTE",#REF!)))</formula>
    </cfRule>
    <cfRule type="containsText" dxfId="6220" priority="2597" operator="containsText" text="ENTREGADO">
      <formula>NOT(ISERROR(SEARCH("ENTREGADO",I85)))</formula>
    </cfRule>
    <cfRule type="containsText" dxfId="6219" priority="2596" operator="containsText" text="ENTREGADO">
      <formula>NOT(ISERROR(SEARCH("ENTREGADO",#REF!)))</formula>
    </cfRule>
    <cfRule type="containsText" dxfId="6218" priority="2601" operator="containsText" text="ENTREGADO">
      <formula>NOT(ISERROR(SEARCH("ENTREGADO",I85)))</formula>
    </cfRule>
  </conditionalFormatting>
  <conditionalFormatting sqref="I86">
    <cfRule type="containsText" dxfId="6217" priority="2441" operator="containsText" text="ENTREGADO">
      <formula>NOT(ISERROR(SEARCH("ENTREGADO",#REF!)))</formula>
    </cfRule>
    <cfRule type="containsText" dxfId="6216" priority="2444" operator="containsText" text="PENDIENTE">
      <formula>NOT(ISERROR(SEARCH("PENDIENTE",I86)))</formula>
    </cfRule>
    <cfRule type="containsText" dxfId="6215" priority="2446" operator="containsText" text="ENTREGADO">
      <formula>NOT(ISERROR(SEARCH("ENTREGADO",I86)))</formula>
    </cfRule>
    <cfRule type="containsText" dxfId="6214" priority="2442" operator="containsText" text="ENTREGADO">
      <formula>NOT(ISERROR(SEARCH("ENTREGADO",I86)))</formula>
    </cfRule>
    <cfRule type="containsText" dxfId="6213" priority="2443" operator="containsText" text="PENDIENTE">
      <formula>NOT(ISERROR(SEARCH("PENDIENTE",#REF!)))</formula>
    </cfRule>
  </conditionalFormatting>
  <conditionalFormatting sqref="I87">
    <cfRule type="containsText" dxfId="6212" priority="2317" operator="containsText" text="ENTREGADO">
      <formula>NOT(ISERROR(SEARCH("ENTREGADO",I87)))</formula>
    </cfRule>
    <cfRule type="containsText" dxfId="6211" priority="2315" operator="containsText" text="PENDIENTE">
      <formula>NOT(ISERROR(SEARCH("PENDIENTE",I87)))</formula>
    </cfRule>
    <cfRule type="containsText" dxfId="6210" priority="2314" operator="containsText" text="PENDIENTE">
      <formula>NOT(ISERROR(SEARCH("PENDIENTE",#REF!)))</formula>
    </cfRule>
    <cfRule type="containsText" dxfId="6209" priority="2313" operator="containsText" text="ENTREGADO">
      <formula>NOT(ISERROR(SEARCH("ENTREGADO",I87)))</formula>
    </cfRule>
    <cfRule type="containsText" dxfId="6208" priority="2312" operator="containsText" text="ENTREGADO">
      <formula>NOT(ISERROR(SEARCH("ENTREGADO",#REF!)))</formula>
    </cfRule>
  </conditionalFormatting>
  <conditionalFormatting sqref="I88">
    <cfRule type="containsText" dxfId="6207" priority="2188" operator="containsText" text="ENTREGADO">
      <formula>NOT(ISERROR(SEARCH("ENTREGADO",I88)))</formula>
    </cfRule>
    <cfRule type="containsText" dxfId="6206" priority="2186" operator="containsText" text="PENDIENTE">
      <formula>NOT(ISERROR(SEARCH("PENDIENTE",I88)))</formula>
    </cfRule>
    <cfRule type="containsText" dxfId="6205" priority="2185" operator="containsText" text="PENDIENTE">
      <formula>NOT(ISERROR(SEARCH("PENDIENTE",#REF!)))</formula>
    </cfRule>
    <cfRule type="containsText" dxfId="6204" priority="2184" operator="containsText" text="ENTREGADO">
      <formula>NOT(ISERROR(SEARCH("ENTREGADO",I88)))</formula>
    </cfRule>
    <cfRule type="containsText" dxfId="6203" priority="2183" operator="containsText" text="ENTREGADO">
      <formula>NOT(ISERROR(SEARCH("ENTREGADO",#REF!)))</formula>
    </cfRule>
  </conditionalFormatting>
  <conditionalFormatting sqref="I89">
    <cfRule type="containsText" dxfId="6202" priority="1802" operator="containsText" text="ENTREGADO">
      <formula>NOT(ISERROR(SEARCH("ENTREGADO",#REF!)))</formula>
    </cfRule>
    <cfRule type="containsText" dxfId="6201" priority="1803" operator="containsText" text="ENTREGADO">
      <formula>NOT(ISERROR(SEARCH("ENTREGADO",I89)))</formula>
    </cfRule>
    <cfRule type="containsText" dxfId="6200" priority="1805" operator="containsText" text="PENDIENTE">
      <formula>NOT(ISERROR(SEARCH("PENDIENTE",I89)))</formula>
    </cfRule>
    <cfRule type="containsText" dxfId="6199" priority="1804" operator="containsText" text="PENDIENTE">
      <formula>NOT(ISERROR(SEARCH("PENDIENTE",#REF!)))</formula>
    </cfRule>
    <cfRule type="containsText" dxfId="6198" priority="1807" operator="containsText" text="ENTREGADO">
      <formula>NOT(ISERROR(SEARCH("ENTREGADO",I89)))</formula>
    </cfRule>
  </conditionalFormatting>
  <conditionalFormatting sqref="I90">
    <cfRule type="containsText" dxfId="6197" priority="1146" operator="containsText" text="ENTREGADO">
      <formula>NOT(ISERROR(SEARCH("ENTREGADO",#REF!)))</formula>
    </cfRule>
    <cfRule type="containsText" dxfId="6196" priority="1147" operator="containsText" text="ENTREGADO">
      <formula>NOT(ISERROR(SEARCH("ENTREGADO",I90)))</formula>
    </cfRule>
    <cfRule type="containsText" dxfId="6195" priority="1151" operator="containsText" text="ENTREGADO">
      <formula>NOT(ISERROR(SEARCH("ENTREGADO",I90)))</formula>
    </cfRule>
    <cfRule type="containsText" dxfId="6194" priority="1149" operator="containsText" text="PENDIENTE">
      <formula>NOT(ISERROR(SEARCH("PENDIENTE",I90)))</formula>
    </cfRule>
    <cfRule type="containsText" dxfId="6193" priority="1148" operator="containsText" text="PENDIENTE">
      <formula>NOT(ISERROR(SEARCH("PENDIENTE",#REF!)))</formula>
    </cfRule>
  </conditionalFormatting>
  <conditionalFormatting sqref="I91">
    <cfRule type="containsText" dxfId="6192" priority="975" operator="containsText" text="PENDIENTE">
      <formula>NOT(ISERROR(SEARCH("PENDIENTE",#REF!)))</formula>
    </cfRule>
    <cfRule type="containsText" dxfId="6191" priority="976" operator="containsText" text="PENDIENTE">
      <formula>NOT(ISERROR(SEARCH("PENDIENTE",I91)))</formula>
    </cfRule>
    <cfRule type="containsText" dxfId="6190" priority="974" operator="containsText" text="ENTREGADO">
      <formula>NOT(ISERROR(SEARCH("ENTREGADO",I91)))</formula>
    </cfRule>
    <cfRule type="containsText" dxfId="6189" priority="978" operator="containsText" text="ENTREGADO">
      <formula>NOT(ISERROR(SEARCH("ENTREGADO",I91)))</formula>
    </cfRule>
    <cfRule type="containsText" dxfId="6188" priority="973" operator="containsText" text="ENTREGADO">
      <formula>NOT(ISERROR(SEARCH("ENTREGADO",#REF!)))</formula>
    </cfRule>
  </conditionalFormatting>
  <conditionalFormatting sqref="I92">
    <cfRule type="containsText" dxfId="6187" priority="837" operator="containsText" text="ENTREGADO">
      <formula>NOT(ISERROR(SEARCH("ENTREGADO",I92)))</formula>
    </cfRule>
    <cfRule type="containsText" dxfId="6186" priority="835" operator="containsText" text="PENDIENTE">
      <formula>NOT(ISERROR(SEARCH("PENDIENTE",I92)))</formula>
    </cfRule>
    <cfRule type="containsText" dxfId="6185" priority="832" operator="containsText" text="ENTREGADO">
      <formula>NOT(ISERROR(SEARCH("ENTREGADO",#REF!)))</formula>
    </cfRule>
    <cfRule type="containsText" dxfId="6184" priority="833" operator="containsText" text="ENTREGADO">
      <formula>NOT(ISERROR(SEARCH("ENTREGADO",I92)))</formula>
    </cfRule>
    <cfRule type="containsText" dxfId="6183" priority="834" operator="containsText" text="PENDIENTE">
      <formula>NOT(ISERROR(SEARCH("PENDIENTE",#REF!)))</formula>
    </cfRule>
  </conditionalFormatting>
  <conditionalFormatting sqref="J5">
    <cfRule type="containsText" dxfId="6182" priority="15886" operator="containsText" text="ENTREGADO">
      <formula>NOT(ISERROR(SEARCH("ENTREGADO",J5)))</formula>
    </cfRule>
  </conditionalFormatting>
  <conditionalFormatting sqref="J5:J7">
    <cfRule type="containsText" dxfId="6181" priority="14436" operator="containsText" text="PENDIENTE">
      <formula>NOT(ISERROR(SEARCH("PENDIENTE",J5)))</formula>
    </cfRule>
    <cfRule type="containsText" dxfId="6180" priority="14437" operator="containsText" text="PRIORIDAD">
      <formula>NOT(ISERROR(SEARCH("PRIORIDAD",J5)))</formula>
    </cfRule>
    <cfRule type="containsText" dxfId="6179" priority="14434" operator="containsText" text="ENTREGADO">
      <formula>NOT(ISERROR(SEARCH("ENTREGADO",J5)))</formula>
    </cfRule>
  </conditionalFormatting>
  <conditionalFormatting sqref="J6:J7 J19">
    <cfRule type="containsText" dxfId="6178" priority="14438" operator="containsText" text="ENTREGADO">
      <formula>NOT(ISERROR(SEARCH("ENTREGADO",J6)))</formula>
    </cfRule>
  </conditionalFormatting>
  <conditionalFormatting sqref="J8">
    <cfRule type="containsText" dxfId="6177" priority="13631" operator="containsText" text="ENTREGADO">
      <formula>NOT(ISERROR(SEARCH("ENTREGADO",J8)))</formula>
    </cfRule>
  </conditionalFormatting>
  <conditionalFormatting sqref="J9">
    <cfRule type="containsText" dxfId="6176" priority="9547" operator="containsText" text="PRIORIDAD">
      <formula>NOT(ISERROR(SEARCH("PRIORIDAD",J9)))</formula>
    </cfRule>
    <cfRule type="containsText" dxfId="6175" priority="9548" operator="containsText" text="ENTREGADO">
      <formula>NOT(ISERROR(SEARCH("ENTREGADO",J9)))</formula>
    </cfRule>
  </conditionalFormatting>
  <conditionalFormatting sqref="J9:J11">
    <cfRule type="containsText" dxfId="6174" priority="7984" operator="containsText" text="PENDIENTE">
      <formula>NOT(ISERROR(SEARCH("PENDIENTE",J9)))</formula>
    </cfRule>
    <cfRule type="containsText" dxfId="6173" priority="7981" operator="containsText" text="ENTREGADO">
      <formula>NOT(ISERROR(SEARCH("ENTREGADO",#REF!)))</formula>
    </cfRule>
    <cfRule type="containsText" dxfId="6172" priority="7982" operator="containsText" text="ENTREGADO">
      <formula>NOT(ISERROR(SEARCH("ENTREGADO",J9)))</formula>
    </cfRule>
  </conditionalFormatting>
  <conditionalFormatting sqref="J10">
    <cfRule type="containsText" dxfId="6171" priority="7986" operator="containsText" text="ENTREGADO">
      <formula>NOT(ISERROR(SEARCH("ENTREGADO",J10)))</formula>
    </cfRule>
    <cfRule type="containsText" dxfId="6170" priority="7985" operator="containsText" text="PRIORIDAD">
      <formula>NOT(ISERROR(SEARCH("PRIORIDAD",J10)))</formula>
    </cfRule>
    <cfRule type="containsText" dxfId="6169" priority="7983" operator="containsText" text="PENDIENTE">
      <formula>NOT(ISERROR(SEARCH("PENDIENTE",#REF!)))</formula>
    </cfRule>
  </conditionalFormatting>
  <conditionalFormatting sqref="J11">
    <cfRule type="containsText" dxfId="6168" priority="8092" operator="containsText" text="PENDIENTE">
      <formula>NOT(ISERROR(SEARCH("PENDIENTE",#REF!)))</formula>
    </cfRule>
    <cfRule type="containsText" dxfId="6167" priority="8094" operator="containsText" text="PRIORIDAD">
      <formula>NOT(ISERROR(SEARCH("PRIORIDAD",J11)))</formula>
    </cfRule>
    <cfRule type="containsText" dxfId="6166" priority="8095" operator="containsText" text="ENTREGADO">
      <formula>NOT(ISERROR(SEARCH("ENTREGADO",J11)))</formula>
    </cfRule>
  </conditionalFormatting>
  <conditionalFormatting sqref="J12">
    <cfRule type="containsText" dxfId="6165" priority="8807" operator="containsText" text="ENTREGADO">
      <formula>NOT(ISERROR(SEARCH("ENTREGADO",J12)))</formula>
    </cfRule>
    <cfRule type="containsText" dxfId="6164" priority="8806" operator="containsText" text="PRIORIDAD">
      <formula>NOT(ISERROR(SEARCH("PRIORIDAD",J12)))</formula>
    </cfRule>
  </conditionalFormatting>
  <conditionalFormatting sqref="J13">
    <cfRule type="containsText" dxfId="6163" priority="8715" operator="containsText" text="PENDIENTE">
      <formula>NOT(ISERROR(SEARCH("PENDIENTE",#REF!)))</formula>
    </cfRule>
    <cfRule type="containsText" dxfId="6162" priority="8717" operator="containsText" text="PRIORIDAD">
      <formula>NOT(ISERROR(SEARCH("PRIORIDAD",J13)))</formula>
    </cfRule>
    <cfRule type="containsText" dxfId="6161" priority="8718" operator="containsText" text="ENTREGADO">
      <formula>NOT(ISERROR(SEARCH("ENTREGADO",J13)))</formula>
    </cfRule>
  </conditionalFormatting>
  <conditionalFormatting sqref="J14">
    <cfRule type="containsText" dxfId="6160" priority="8626" operator="containsText" text="PENDIENTE">
      <formula>NOT(ISERROR(SEARCH("PENDIENTE",#REF!)))</formula>
    </cfRule>
    <cfRule type="containsText" dxfId="6159" priority="8628" operator="containsText" text="PRIORIDAD">
      <formula>NOT(ISERROR(SEARCH("PRIORIDAD",J14)))</formula>
    </cfRule>
    <cfRule type="containsText" dxfId="6158" priority="8629" operator="containsText" text="ENTREGADO">
      <formula>NOT(ISERROR(SEARCH("ENTREGADO",J14)))</formula>
    </cfRule>
  </conditionalFormatting>
  <conditionalFormatting sqref="J15">
    <cfRule type="containsText" dxfId="6157" priority="8540" operator="containsText" text="ENTREGADO">
      <formula>NOT(ISERROR(SEARCH("ENTREGADO",J15)))</formula>
    </cfRule>
    <cfRule type="containsText" dxfId="6156" priority="8539" operator="containsText" text="PRIORIDAD">
      <formula>NOT(ISERROR(SEARCH("PRIORIDAD",J15)))</formula>
    </cfRule>
    <cfRule type="containsText" dxfId="6155" priority="8537" operator="containsText" text="PENDIENTE">
      <formula>NOT(ISERROR(SEARCH("PENDIENTE",#REF!)))</formula>
    </cfRule>
  </conditionalFormatting>
  <conditionalFormatting sqref="J16">
    <cfRule type="containsText" dxfId="6154" priority="8451" operator="containsText" text="ENTREGADO">
      <formula>NOT(ISERROR(SEARCH("ENTREGADO",J16)))</formula>
    </cfRule>
    <cfRule type="containsText" dxfId="6153" priority="8450" operator="containsText" text="PRIORIDAD">
      <formula>NOT(ISERROR(SEARCH("PRIORIDAD",J16)))</formula>
    </cfRule>
    <cfRule type="containsText" dxfId="6152" priority="8448" operator="containsText" text="PENDIENTE">
      <formula>NOT(ISERROR(SEARCH("PENDIENTE",#REF!)))</formula>
    </cfRule>
  </conditionalFormatting>
  <conditionalFormatting sqref="J17">
    <cfRule type="containsText" dxfId="6151" priority="8361" operator="containsText" text="PRIORIDAD">
      <formula>NOT(ISERROR(SEARCH("PRIORIDAD",J17)))</formula>
    </cfRule>
    <cfRule type="containsText" dxfId="6150" priority="8362" operator="containsText" text="ENTREGADO">
      <formula>NOT(ISERROR(SEARCH("ENTREGADO",J17)))</formula>
    </cfRule>
    <cfRule type="containsText" dxfId="6149" priority="8359" operator="containsText" text="PENDIENTE">
      <formula>NOT(ISERROR(SEARCH("PENDIENTE",#REF!)))</formula>
    </cfRule>
  </conditionalFormatting>
  <conditionalFormatting sqref="J18">
    <cfRule type="containsText" dxfId="6148" priority="10371" operator="containsText" text="ENTREGADO">
      <formula>NOT(ISERROR(SEARCH("ENTREGADO",J18)))</formula>
    </cfRule>
  </conditionalFormatting>
  <conditionalFormatting sqref="J18:J22">
    <cfRule type="containsText" dxfId="6147" priority="10370" operator="containsText" text="PRIORIDAD">
      <formula>NOT(ISERROR(SEARCH("PRIORIDAD",J18)))</formula>
    </cfRule>
    <cfRule type="containsText" dxfId="6146" priority="10369" operator="containsText" text="PENDIENTE">
      <formula>NOT(ISERROR(SEARCH("PENDIENTE",J18)))</formula>
    </cfRule>
    <cfRule type="containsText" dxfId="6145" priority="10367" operator="containsText" text="ENTREGADO">
      <formula>NOT(ISERROR(SEARCH("ENTREGADO",J18)))</formula>
    </cfRule>
  </conditionalFormatting>
  <conditionalFormatting sqref="J20">
    <cfRule type="containsText" dxfId="6144" priority="13769" operator="containsText" text="ENTREGADO">
      <formula>NOT(ISERROR(SEARCH("ENTREGADO",J20)))</formula>
    </cfRule>
  </conditionalFormatting>
  <conditionalFormatting sqref="J21">
    <cfRule type="containsText" dxfId="6143" priority="12698" operator="containsText" text="ENTREGADO">
      <formula>NOT(ISERROR(SEARCH("ENTREGADO",J21)))</formula>
    </cfRule>
  </conditionalFormatting>
  <conditionalFormatting sqref="J22">
    <cfRule type="containsText" dxfId="6142" priority="10760" operator="containsText" text="ENTREGADO">
      <formula>NOT(ISERROR(SEARCH("ENTREGADO",J22)))</formula>
    </cfRule>
  </conditionalFormatting>
  <conditionalFormatting sqref="J23">
    <cfRule type="containsText" dxfId="6141" priority="6855" operator="containsText" text="ENTREGADO">
      <formula>NOT(ISERROR(SEARCH("ENTREGADO",J23)))</formula>
    </cfRule>
    <cfRule type="containsText" dxfId="6140" priority="6896" operator="containsText" text="ENTREGADO">
      <formula>NOT(ISERROR(SEARCH("ENTREGADO",J23)))</formula>
    </cfRule>
  </conditionalFormatting>
  <conditionalFormatting sqref="J23:J26">
    <cfRule type="containsText" dxfId="6139" priority="6894" operator="containsText" text="PENDIENTE">
      <formula>NOT(ISERROR(SEARCH("PENDIENTE",J23)))</formula>
    </cfRule>
    <cfRule type="containsText" dxfId="6138" priority="6895" operator="containsText" text="PRIORIDAD">
      <formula>NOT(ISERROR(SEARCH("PRIORIDAD",J23)))</formula>
    </cfRule>
  </conditionalFormatting>
  <conditionalFormatting sqref="J29">
    <cfRule type="containsText" dxfId="6137" priority="5823" operator="containsText" text="ENTREGADO">
      <formula>NOT(ISERROR(SEARCH("ENTREGADO",J29)))</formula>
    </cfRule>
    <cfRule type="containsText" dxfId="6136" priority="5827" operator="containsText" text="PENDIENTE">
      <formula>NOT(ISERROR(SEARCH("PENDIENTE",J29)))</formula>
    </cfRule>
    <cfRule type="containsText" dxfId="6135" priority="5826" operator="containsText" text="ENTREGADO">
      <formula>NOT(ISERROR(SEARCH("ENTREGADO",J29)))</formula>
    </cfRule>
    <cfRule type="containsText" dxfId="6134" priority="5828" operator="containsText" text="ENTREGADO">
      <formula>NOT(ISERROR(SEARCH("ENTREGADO",J29)))</formula>
    </cfRule>
    <cfRule type="containsText" dxfId="6133" priority="5825" operator="containsText" text="PENDIENTE">
      <formula>NOT(ISERROR(SEARCH("PENDIENTE",#REF!)))</formula>
    </cfRule>
    <cfRule type="containsText" dxfId="6132" priority="5824" operator="containsText" text="ENTREGADO">
      <formula>NOT(ISERROR(SEARCH("ENTREGADO",#REF!)))</formula>
    </cfRule>
  </conditionalFormatting>
  <conditionalFormatting sqref="J29:J30">
    <cfRule type="containsText" dxfId="6131" priority="5822" operator="containsText" text="PRIORIDAD">
      <formula>NOT(ISERROR(SEARCH("PRIORIDAD",J29)))</formula>
    </cfRule>
  </conditionalFormatting>
  <conditionalFormatting sqref="J30">
    <cfRule type="containsText" dxfId="6130" priority="5833" operator="containsText" text="ENTREGADO">
      <formula>NOT(ISERROR(SEARCH("ENTREGADO",J30)))</formula>
    </cfRule>
    <cfRule type="containsText" dxfId="6129" priority="5832" operator="containsText" text="PENDIENTE">
      <formula>NOT(ISERROR(SEARCH("PENDIENTE",#REF!)))</formula>
    </cfRule>
    <cfRule type="containsText" dxfId="6128" priority="5831" operator="containsText" text="ENTREGADO">
      <formula>NOT(ISERROR(SEARCH("ENTREGADO",#REF!)))</formula>
    </cfRule>
    <cfRule type="containsText" dxfId="6127" priority="5834" operator="containsText" text="PENDIENTE">
      <formula>NOT(ISERROR(SEARCH("PENDIENTE",J30)))</formula>
    </cfRule>
    <cfRule type="containsText" dxfId="6126" priority="5830" operator="containsText" text="ENTREGADO">
      <formula>NOT(ISERROR(SEARCH("ENTREGADO",J30)))</formula>
    </cfRule>
    <cfRule type="containsText" dxfId="6125" priority="5835" operator="containsText" text="ENTREGADO">
      <formula>NOT(ISERROR(SEARCH("ENTREGADO",J30)))</formula>
    </cfRule>
  </conditionalFormatting>
  <conditionalFormatting sqref="J71">
    <cfRule type="containsText" dxfId="6124" priority="9864" operator="containsText" text="PENDIENTE">
      <formula>NOT(ISERROR(SEARCH("PENDIENTE",#REF!)))</formula>
    </cfRule>
    <cfRule type="containsText" dxfId="6123" priority="9865" operator="containsText" text="ENTREGADO">
      <formula>NOT(ISERROR(SEARCH("ENTREGADO",J71)))</formula>
    </cfRule>
    <cfRule type="containsText" dxfId="6122" priority="9866" operator="containsText" text="PENDIENTE">
      <formula>NOT(ISERROR(SEARCH("PENDIENTE",J71)))</formula>
    </cfRule>
  </conditionalFormatting>
  <conditionalFormatting sqref="J72">
    <cfRule type="containsText" dxfId="6121" priority="6756" operator="containsText" text="ENTREGADO">
      <formula>NOT(ISERROR(SEARCH("ENTREGADO",J72)))</formula>
    </cfRule>
    <cfRule type="containsText" dxfId="6120" priority="6757" operator="containsText" text="PENDIENTE">
      <formula>NOT(ISERROR(SEARCH("PENDIENTE",J72)))</formula>
    </cfRule>
    <cfRule type="containsText" dxfId="6119" priority="6755" operator="containsText" text="PENDIENTE">
      <formula>NOT(ISERROR(SEARCH("PENDIENTE",#REF!)))</formula>
    </cfRule>
  </conditionalFormatting>
  <conditionalFormatting sqref="J73">
    <cfRule type="containsText" dxfId="6118" priority="6630" operator="containsText" text="PENDIENTE">
      <formula>NOT(ISERROR(SEARCH("PENDIENTE",J73)))</formula>
    </cfRule>
    <cfRule type="containsText" dxfId="6117" priority="6629" operator="containsText" text="ENTREGADO">
      <formula>NOT(ISERROR(SEARCH("ENTREGADO",J73)))</formula>
    </cfRule>
    <cfRule type="containsText" dxfId="6116" priority="6628" operator="containsText" text="PENDIENTE">
      <formula>NOT(ISERROR(SEARCH("PENDIENTE",#REF!)))</formula>
    </cfRule>
  </conditionalFormatting>
  <conditionalFormatting sqref="J74">
    <cfRule type="containsText" dxfId="6115" priority="6502" operator="containsText" text="PENDIENTE">
      <formula>NOT(ISERROR(SEARCH("PENDIENTE",J74)))</formula>
    </cfRule>
    <cfRule type="containsText" dxfId="6114" priority="6501" operator="containsText" text="ENTREGADO">
      <formula>NOT(ISERROR(SEARCH("ENTREGADO",J74)))</formula>
    </cfRule>
    <cfRule type="containsText" dxfId="6113" priority="6500" operator="containsText" text="PENDIENTE">
      <formula>NOT(ISERROR(SEARCH("PENDIENTE",#REF!)))</formula>
    </cfRule>
  </conditionalFormatting>
  <conditionalFormatting sqref="J5:N7">
    <cfRule type="containsText" dxfId="6112" priority="14435" operator="containsText" text="PENDIENTE">
      <formula>NOT(ISERROR(SEARCH("PENDIENTE",#REF!)))</formula>
    </cfRule>
    <cfRule type="containsText" dxfId="6111" priority="14433" operator="containsText" text="ENTREGADO">
      <formula>NOT(ISERROR(SEARCH("ENTREGADO",#REF!)))</formula>
    </cfRule>
  </conditionalFormatting>
  <conditionalFormatting sqref="J8:N8">
    <cfRule type="containsText" dxfId="6110" priority="13630" operator="containsText" text="PRIORIDAD">
      <formula>NOT(ISERROR(SEARCH("PRIORIDAD",J8)))</formula>
    </cfRule>
  </conditionalFormatting>
  <conditionalFormatting sqref="J18:N22 J24:N26">
    <cfRule type="containsText" dxfId="6109" priority="10366" operator="containsText" text="ENTREGADO">
      <formula>NOT(ISERROR(SEARCH("ENTREGADO",#REF!)))</formula>
    </cfRule>
    <cfRule type="containsText" dxfId="6108" priority="10368" operator="containsText" text="PENDIENTE">
      <formula>NOT(ISERROR(SEARCH("PENDIENTE",#REF!)))</formula>
    </cfRule>
  </conditionalFormatting>
  <conditionalFormatting sqref="J23:N23">
    <cfRule type="containsText" dxfId="6107" priority="6854" operator="containsText" text="ENTREGADO">
      <formula>NOT(ISERROR(SEARCH("ENTREGADO",#REF!)))</formula>
    </cfRule>
    <cfRule type="containsText" dxfId="6106" priority="6856" operator="containsText" text="PENDIENTE">
      <formula>NOT(ISERROR(SEARCH("PENDIENTE",#REF!)))</formula>
    </cfRule>
  </conditionalFormatting>
  <conditionalFormatting sqref="J27:N27 F27:H30">
    <cfRule type="containsText" dxfId="6105" priority="12183" operator="containsText" text="PENDIENTE">
      <formula>NOT(ISERROR(SEARCH("PENDIENTE",F27)))</formula>
    </cfRule>
    <cfRule type="containsText" dxfId="6104" priority="12181" operator="containsText" text="ENTREGADO">
      <formula>NOT(ISERROR(SEARCH("ENTREGADO",F27)))</formula>
    </cfRule>
  </conditionalFormatting>
  <conditionalFormatting sqref="J28:N28">
    <cfRule type="containsText" dxfId="6103" priority="22971" operator="containsText" text="PENDIENTE">
      <formula>NOT(ISERROR(SEARCH("PENDIENTE",#REF!)))</formula>
    </cfRule>
    <cfRule type="containsText" dxfId="6102" priority="22972" operator="containsText" text="PENDIENTE">
      <formula>NOT(ISERROR(SEARCH("PENDIENTE",J28)))</formula>
    </cfRule>
    <cfRule type="containsText" dxfId="6101" priority="22970" operator="containsText" text="ENTREGADO">
      <formula>NOT(ISERROR(SEARCH("ENTREGADO",J28)))</formula>
    </cfRule>
  </conditionalFormatting>
  <conditionalFormatting sqref="J34:N34 F34:H34">
    <cfRule type="containsText" dxfId="6100" priority="19955" operator="containsText" text="PENDIENTE">
      <formula>NOT(ISERROR(SEARCH("PENDIENTE",#REF!)))</formula>
    </cfRule>
  </conditionalFormatting>
  <conditionalFormatting sqref="J39:N39 F39:H39">
    <cfRule type="containsText" dxfId="6099" priority="4149" operator="containsText" text="ENTREGADO">
      <formula>NOT(ISERROR(SEARCH("ENTREGADO",F39)))</formula>
    </cfRule>
    <cfRule type="containsText" dxfId="6098" priority="4151" operator="containsText" text="PENDIENTE">
      <formula>NOT(ISERROR(SEARCH("PENDIENTE",F39)))</formula>
    </cfRule>
  </conditionalFormatting>
  <conditionalFormatting sqref="J41:N41 F41:H41">
    <cfRule type="containsText" dxfId="6097" priority="3793" operator="containsText" text="PENDIENTE">
      <formula>NOT(ISERROR(SEARCH("PENDIENTE",#REF!)))</formula>
    </cfRule>
  </conditionalFormatting>
  <conditionalFormatting sqref="J55:N55 C55:D55 F55:H55">
    <cfRule type="containsText" dxfId="6096" priority="649" operator="containsText" text="ENTREGADO">
      <formula>NOT(ISERROR(SEARCH("ENTREGADO",#REF!)))</formula>
    </cfRule>
  </conditionalFormatting>
  <conditionalFormatting sqref="J61:N62">
    <cfRule type="containsText" dxfId="6095" priority="4523" operator="containsText" text="PRIORIDAD">
      <formula>NOT(ISERROR(SEARCH("PRIORIDAD",J61)))</formula>
    </cfRule>
  </conditionalFormatting>
  <conditionalFormatting sqref="J71:N71">
    <cfRule type="containsText" dxfId="6094" priority="9867" operator="containsText" text="ENTREGADO">
      <formula>NOT(ISERROR(SEARCH("ENTREGADO",J71)))</formula>
    </cfRule>
  </conditionalFormatting>
  <conditionalFormatting sqref="J72:N72">
    <cfRule type="containsText" dxfId="6093" priority="6758" operator="containsText" text="ENTREGADO">
      <formula>NOT(ISERROR(SEARCH("ENTREGADO",J72)))</formula>
    </cfRule>
  </conditionalFormatting>
  <conditionalFormatting sqref="J73:N73">
    <cfRule type="containsText" dxfId="6092" priority="6631" operator="containsText" text="ENTREGADO">
      <formula>NOT(ISERROR(SEARCH("ENTREGADO",J73)))</formula>
    </cfRule>
  </conditionalFormatting>
  <conditionalFormatting sqref="J74:N74">
    <cfRule type="containsText" dxfId="6091" priority="6503" operator="containsText" text="ENTREGADO">
      <formula>NOT(ISERROR(SEARCH("ENTREGADO",J74)))</formula>
    </cfRule>
  </conditionalFormatting>
  <conditionalFormatting sqref="J77:N77 F77:H77">
    <cfRule type="containsText" dxfId="6090" priority="2099" operator="containsText" text="PENDIENTE">
      <formula>NOT(ISERROR(SEARCH("PENDIENTE",#REF!)))</formula>
    </cfRule>
  </conditionalFormatting>
  <conditionalFormatting sqref="J77:N77">
    <cfRule type="containsText" dxfId="6089" priority="2092" operator="containsText" text="PENDIENTE">
      <formula>NOT(ISERROR(SEARCH("PENDIENTE",J77)))</formula>
    </cfRule>
    <cfRule type="containsText" dxfId="6088" priority="2091" operator="containsText" text="ENTREGADO">
      <formula>NOT(ISERROR(SEARCH("ENTREGADO",J77)))</formula>
    </cfRule>
  </conditionalFormatting>
  <conditionalFormatting sqref="J82:N82 C82:D82 F82:H82">
    <cfRule type="containsText" dxfId="6087" priority="1408" operator="containsText" text="ENTREGADO">
      <formula>NOT(ISERROR(SEARCH("ENTREGADO",#REF!)))</formula>
    </cfRule>
  </conditionalFormatting>
  <conditionalFormatting sqref="J82:N82 F82:H82 C82:D82">
    <cfRule type="containsText" dxfId="6086" priority="1409" operator="containsText" text="ENTREGADO">
      <formula>NOT(ISERROR(SEARCH("ENTREGADO",C82)))</formula>
    </cfRule>
    <cfRule type="containsText" dxfId="6085" priority="1411" operator="containsText" text="PENDIENTE">
      <formula>NOT(ISERROR(SEARCH("PENDIENTE",#REF!)))</formula>
    </cfRule>
  </conditionalFormatting>
  <conditionalFormatting sqref="J82:N82 F82:H82">
    <cfRule type="containsText" dxfId="6084" priority="1414" operator="containsText" text="ENTREGADO">
      <formula>NOT(ISERROR(SEARCH("ENTREGADO",F82)))</formula>
    </cfRule>
    <cfRule type="containsText" dxfId="6083" priority="1412" operator="containsText" text="ENTREGADO">
      <formula>NOT(ISERROR(SEARCH("ENTREGADO",F82)))</formula>
    </cfRule>
    <cfRule type="containsText" dxfId="6082" priority="1413" operator="containsText" text="PENDIENTE">
      <formula>NOT(ISERROR(SEARCH("PENDIENTE",F82)))</formula>
    </cfRule>
  </conditionalFormatting>
  <conditionalFormatting sqref="J31:O31 F31:H31">
    <cfRule type="containsText" dxfId="6081" priority="17480" operator="containsText" text="PRIORIDAD">
      <formula>NOT(ISERROR(SEARCH("PRIORIDAD",F31)))</formula>
    </cfRule>
  </conditionalFormatting>
  <conditionalFormatting sqref="J32:O32 J34:O34">
    <cfRule type="containsText" dxfId="6080" priority="19613" operator="containsText" text="PENDIENTE">
      <formula>NOT(ISERROR(SEARCH("PENDIENTE",J32)))</formula>
    </cfRule>
    <cfRule type="containsText" dxfId="6079" priority="19611" operator="containsText" text="ENTREGADO">
      <formula>NOT(ISERROR(SEARCH("ENTREGADO",J32)))</formula>
    </cfRule>
  </conditionalFormatting>
  <conditionalFormatting sqref="J41:O41">
    <cfRule type="containsText" dxfId="6078" priority="3786" operator="containsText" text="PENDIENTE">
      <formula>NOT(ISERROR(SEARCH("PENDIENTE",J41)))</formula>
    </cfRule>
    <cfRule type="containsText" dxfId="6077" priority="3785" operator="containsText" text="ENTREGADO">
      <formula>NOT(ISERROR(SEARCH("ENTREGADO",J41)))</formula>
    </cfRule>
  </conditionalFormatting>
  <conditionalFormatting sqref="J63:P69">
    <cfRule type="containsText" dxfId="6076" priority="7384" operator="containsText" text="PRIORIDAD">
      <formula>NOT(ISERROR(SEARCH("PRIORIDAD",J63)))</formula>
    </cfRule>
  </conditionalFormatting>
  <conditionalFormatting sqref="J70:P70 R70 C62:H70">
    <cfRule type="containsText" dxfId="6075" priority="5798" operator="containsText" text="PRIORIDAD">
      <formula>NOT(ISERROR(SEARCH("PRIORIDAD",C62)))</formula>
    </cfRule>
  </conditionalFormatting>
  <conditionalFormatting sqref="J79:P79">
    <cfRule type="containsText" dxfId="6074" priority="1527" operator="containsText" text="PRIORIDAD">
      <formula>NOT(ISERROR(SEARCH("PRIORIDAD",J79)))</formula>
    </cfRule>
  </conditionalFormatting>
  <conditionalFormatting sqref="K9 M9:N9">
    <cfRule type="containsText" dxfId="6073" priority="9563" operator="containsText" text="ENTREGADO">
      <formula>NOT(ISERROR(SEARCH("ENTREGADO",K9)))</formula>
    </cfRule>
  </conditionalFormatting>
  <conditionalFormatting sqref="K29:N30 G30:H30">
    <cfRule type="containsText" dxfId="6072" priority="19042" operator="containsText" text="PENDIENTE">
      <formula>NOT(ISERROR(SEARCH("PENDIENTE",#REF!)))</formula>
    </cfRule>
  </conditionalFormatting>
  <conditionalFormatting sqref="K29:N30">
    <cfRule type="containsText" dxfId="6071" priority="18879" operator="containsText" text="PENDIENTE">
      <formula>NOT(ISERROR(SEARCH("PENDIENTE",K29)))</formula>
    </cfRule>
    <cfRule type="containsText" dxfId="6070" priority="18877" operator="containsText" text="ENTREGADO">
      <formula>NOT(ISERROR(SEARCH("ENTREGADO",K29)))</formula>
    </cfRule>
  </conditionalFormatting>
  <conditionalFormatting sqref="K72:N72 AD72:AF72 AI72:AL72 AN72:AO72 AR72:BA72">
    <cfRule type="containsText" dxfId="6069" priority="6777" operator="containsText" text="PENDIENTE">
      <formula>NOT(ISERROR(SEARCH("PENDIENTE",K72)))</formula>
    </cfRule>
    <cfRule type="containsText" dxfId="6068" priority="6778" operator="containsText" text="ENTREGADO">
      <formula>NOT(ISERROR(SEARCH("ENTREGADO",K72)))</formula>
    </cfRule>
  </conditionalFormatting>
  <conditionalFormatting sqref="K72:N72">
    <cfRule type="containsText" dxfId="6067" priority="6775" operator="containsText" text="PENDIENTE">
      <formula>NOT(ISERROR(SEARCH("PENDIENTE",#REF!)))</formula>
    </cfRule>
    <cfRule type="containsText" dxfId="6066" priority="6776" operator="containsText" text="ENTREGADO">
      <formula>NOT(ISERROR(SEARCH("ENTREGADO",K72)))</formula>
    </cfRule>
  </conditionalFormatting>
  <conditionalFormatting sqref="K73:N73 AD73:AF73 AI73:AL73 AN73:AO73 AR73:BA73">
    <cfRule type="containsText" dxfId="6065" priority="6650" operator="containsText" text="PENDIENTE">
      <formula>NOT(ISERROR(SEARCH("PENDIENTE",K73)))</formula>
    </cfRule>
  </conditionalFormatting>
  <conditionalFormatting sqref="K73:N73">
    <cfRule type="containsText" dxfId="6064" priority="6649" operator="containsText" text="ENTREGADO">
      <formula>NOT(ISERROR(SEARCH("ENTREGADO",K73)))</formula>
    </cfRule>
    <cfRule type="containsText" dxfId="6063" priority="6648" operator="containsText" text="PENDIENTE">
      <formula>NOT(ISERROR(SEARCH("PENDIENTE",#REF!)))</formula>
    </cfRule>
  </conditionalFormatting>
  <conditionalFormatting sqref="K74:N74 AD74:AF74 AI74:AL74 AN74:AO74 AR74:BA74">
    <cfRule type="containsText" dxfId="6062" priority="6522" operator="containsText" text="PENDIENTE">
      <formula>NOT(ISERROR(SEARCH("PENDIENTE",K74)))</formula>
    </cfRule>
  </conditionalFormatting>
  <conditionalFormatting sqref="K74:N74">
    <cfRule type="containsText" dxfId="6061" priority="6520" operator="containsText" text="PENDIENTE">
      <formula>NOT(ISERROR(SEARCH("PENDIENTE",#REF!)))</formula>
    </cfRule>
    <cfRule type="containsText" dxfId="6060" priority="6521" operator="containsText" text="ENTREGADO">
      <formula>NOT(ISERROR(SEARCH("ENTREGADO",K74)))</formula>
    </cfRule>
  </conditionalFormatting>
  <conditionalFormatting sqref="L9:L17">
    <cfRule type="containsText" dxfId="6059" priority="7905" operator="containsText" text="PENDIENTE">
      <formula>NOT(ISERROR(SEARCH("PENDIENTE",#REF!)))</formula>
    </cfRule>
    <cfRule type="containsText" dxfId="6058" priority="7907" operator="containsText" text="PRIORIDAD">
      <formula>NOT(ISERROR(SEARCH("PRIORIDAD",L9)))</formula>
    </cfRule>
    <cfRule type="containsText" dxfId="6057" priority="7908" operator="containsText" text="ENTREGADO">
      <formula>NOT(ISERROR(SEARCH("ENTREGADO",L9)))</formula>
    </cfRule>
    <cfRule type="containsText" dxfId="6056" priority="7903" operator="containsText" text="ENTREGADO">
      <formula>NOT(ISERROR(SEARCH("ENTREGADO",#REF!)))</formula>
    </cfRule>
    <cfRule type="containsText" dxfId="6055" priority="7906" operator="containsText" text="PENDIENTE">
      <formula>NOT(ISERROR(SEARCH("PENDIENTE",L9)))</formula>
    </cfRule>
    <cfRule type="containsText" dxfId="6054" priority="7904" operator="containsText" text="ENTREGADO">
      <formula>NOT(ISERROR(SEARCH("ENTREGADO",L9)))</formula>
    </cfRule>
  </conditionalFormatting>
  <conditionalFormatting sqref="N28">
    <cfRule type="containsText" dxfId="6053" priority="22963" operator="containsText" text="ENTREGADO">
      <formula>NOT(ISERROR(SEARCH("ENTREGADO",N28)))</formula>
    </cfRule>
    <cfRule type="containsText" dxfId="6052" priority="22968" operator="containsText" text="PRIORIDAD">
      <formula>NOT(ISERROR(SEARCH("PRIORIDAD",N28)))</formula>
    </cfRule>
    <cfRule type="containsText" dxfId="6051" priority="22967" operator="containsText" text="ENTREGADO">
      <formula>NOT(ISERROR(SEARCH("ENTREGADO",N28)))</formula>
    </cfRule>
    <cfRule type="containsText" dxfId="6050" priority="22965" operator="containsText" text="PENDIENTE">
      <formula>NOT(ISERROR(SEARCH("PENDIENTE",N28)))</formula>
    </cfRule>
    <cfRule type="containsText" dxfId="6049" priority="22964" operator="containsText" text="PENDIENTE">
      <formula>NOT(ISERROR(SEARCH("PENDIENTE",#REF!)))</formula>
    </cfRule>
    <cfRule type="containsText" dxfId="6048" priority="22973" operator="containsText" text="ENTREGADO">
      <formula>NOT(ISERROR(SEARCH("ENTREGADO",N28)))</formula>
    </cfRule>
    <cfRule type="containsText" dxfId="6047" priority="22969" operator="containsText" text="ENTREGADO">
      <formula>NOT(ISERROR(SEARCH("ENTREGADO",#REF!)))</formula>
    </cfRule>
    <cfRule type="containsText" dxfId="6046" priority="22974" operator="containsText" text="ENTREGADO">
      <formula>NOT(ISERROR(SEARCH("ENTREGADO",#REF!)))</formula>
    </cfRule>
  </conditionalFormatting>
  <conditionalFormatting sqref="O3">
    <cfRule type="containsText" dxfId="6045" priority="21133" operator="containsText" text="PRIORIDAD">
      <formula>NOT(ISERROR(SEARCH("PRIORIDAD",O3)))</formula>
    </cfRule>
  </conditionalFormatting>
  <conditionalFormatting sqref="O3:O4">
    <cfRule type="containsText" dxfId="6044" priority="18495" operator="containsText" text="ENTREGADO">
      <formula>NOT(ISERROR(SEARCH("ENTREGADO",O3)))</formula>
    </cfRule>
  </conditionalFormatting>
  <conditionalFormatting sqref="O4:O11">
    <cfRule type="containsText" dxfId="6043" priority="7976" operator="containsText" text="PENDIENTE">
      <formula>NOT(ISERROR(SEARCH("PENDIENTE",O4)))</formula>
    </cfRule>
  </conditionalFormatting>
  <conditionalFormatting sqref="O5">
    <cfRule type="containsText" dxfId="6042" priority="15845" operator="containsText" text="PRIORIDAD">
      <formula>NOT(ISERROR(SEARCH("PRIORIDAD",O5)))</formula>
    </cfRule>
  </conditionalFormatting>
  <conditionalFormatting sqref="O5:O7 O19">
    <cfRule type="containsText" dxfId="6041" priority="14407" operator="containsText" text="ENTREGADO">
      <formula>NOT(ISERROR(SEARCH("ENTREGADO",O5)))</formula>
    </cfRule>
  </conditionalFormatting>
  <conditionalFormatting sqref="O6:O7 O19">
    <cfRule type="containsText" dxfId="6040" priority="14406" operator="containsText" text="PRIORIDAD">
      <formula>NOT(ISERROR(SEARCH("PRIORIDAD",O6)))</formula>
    </cfRule>
  </conditionalFormatting>
  <conditionalFormatting sqref="O8">
    <cfRule type="containsText" dxfId="6039" priority="13599" operator="containsText" text="PRIORIDAD">
      <formula>NOT(ISERROR(SEARCH("PRIORIDAD",O8)))</formula>
    </cfRule>
  </conditionalFormatting>
  <conditionalFormatting sqref="O8:O9">
    <cfRule type="containsText" dxfId="6038" priority="9517" operator="containsText" text="ENTREGADO">
      <formula>NOT(ISERROR(SEARCH("ENTREGADO",O8)))</formula>
    </cfRule>
  </conditionalFormatting>
  <conditionalFormatting sqref="O10 O25:R26">
    <cfRule type="containsText" dxfId="6037" priority="7979" operator="containsText" text="PRIORIDAD">
      <formula>NOT(ISERROR(SEARCH("PRIORIDAD",O10)))</formula>
    </cfRule>
  </conditionalFormatting>
  <conditionalFormatting sqref="O10">
    <cfRule type="containsText" dxfId="6036" priority="6841" operator="containsText" text="ENTREGADO">
      <formula>NOT(ISERROR(SEARCH("ENTREGADO",O10)))</formula>
    </cfRule>
    <cfRule type="containsText" dxfId="6035" priority="7978" operator="containsText" text="ENTREGADO">
      <formula>NOT(ISERROR(SEARCH("ENTREGADO",O10)))</formula>
    </cfRule>
    <cfRule type="containsText" dxfId="6034" priority="6840" operator="containsText" text="PRIORIDAD">
      <formula>NOT(ISERROR(SEARCH("PRIORIDAD",O10)))</formula>
    </cfRule>
    <cfRule type="containsText" dxfId="6033" priority="6839" operator="containsText" text="ENTREGADO">
      <formula>NOT(ISERROR(SEARCH("ENTREGADO",O10)))</formula>
    </cfRule>
  </conditionalFormatting>
  <conditionalFormatting sqref="O10:O11 O25:P26">
    <cfRule type="containsText" dxfId="6032" priority="7980" operator="containsText" text="ENTREGADO">
      <formula>NOT(ISERROR(SEARCH("ENTREGADO",O10)))</formula>
    </cfRule>
  </conditionalFormatting>
  <conditionalFormatting sqref="O11">
    <cfRule type="containsText" dxfId="6031" priority="8064" operator="containsText" text="ENTREGADO">
      <formula>NOT(ISERROR(SEARCH("ENTREGADO",O11)))</formula>
    </cfRule>
    <cfRule type="containsText" dxfId="6030" priority="8063" operator="containsText" text="PRIORIDAD">
      <formula>NOT(ISERROR(SEARCH("PRIORIDAD",O11)))</formula>
    </cfRule>
  </conditionalFormatting>
  <conditionalFormatting sqref="O12">
    <cfRule type="containsText" dxfId="6029" priority="8775" operator="containsText" text="PRIORIDAD">
      <formula>NOT(ISERROR(SEARCH("PRIORIDAD",O12)))</formula>
    </cfRule>
    <cfRule type="containsText" dxfId="6028" priority="8774" operator="containsText" text="ENTREGADO">
      <formula>NOT(ISERROR(SEARCH("ENTREGADO",O12)))</formula>
    </cfRule>
  </conditionalFormatting>
  <conditionalFormatting sqref="O13">
    <cfRule type="containsText" dxfId="6027" priority="8687" operator="containsText" text="ENTREGADO">
      <formula>NOT(ISERROR(SEARCH("ENTREGADO",O13)))</formula>
    </cfRule>
    <cfRule type="containsText" dxfId="6026" priority="8686" operator="containsText" text="PRIORIDAD">
      <formula>NOT(ISERROR(SEARCH("PRIORIDAD",O13)))</formula>
    </cfRule>
  </conditionalFormatting>
  <conditionalFormatting sqref="O13:O14">
    <cfRule type="containsText" dxfId="6025" priority="8598" operator="containsText" text="ENTREGADO">
      <formula>NOT(ISERROR(SEARCH("ENTREGADO",O13)))</formula>
    </cfRule>
  </conditionalFormatting>
  <conditionalFormatting sqref="O14">
    <cfRule type="containsText" dxfId="6024" priority="8597" operator="containsText" text="PRIORIDAD">
      <formula>NOT(ISERROR(SEARCH("PRIORIDAD",O14)))</formula>
    </cfRule>
  </conditionalFormatting>
  <conditionalFormatting sqref="O14:O15">
    <cfRule type="containsText" dxfId="6023" priority="8509" operator="containsText" text="ENTREGADO">
      <formula>NOT(ISERROR(SEARCH("ENTREGADO",O14)))</formula>
    </cfRule>
  </conditionalFormatting>
  <conditionalFormatting sqref="O15">
    <cfRule type="containsText" dxfId="6022" priority="8508" operator="containsText" text="PRIORIDAD">
      <formula>NOT(ISERROR(SEARCH("PRIORIDAD",O15)))</formula>
    </cfRule>
  </conditionalFormatting>
  <conditionalFormatting sqref="O15:O16">
    <cfRule type="containsText" dxfId="6021" priority="8420" operator="containsText" text="ENTREGADO">
      <formula>NOT(ISERROR(SEARCH("ENTREGADO",O15)))</formula>
    </cfRule>
  </conditionalFormatting>
  <conditionalFormatting sqref="O16">
    <cfRule type="containsText" dxfId="6020" priority="8419" operator="containsText" text="PRIORIDAD">
      <formula>NOT(ISERROR(SEARCH("PRIORIDAD",O16)))</formula>
    </cfRule>
  </conditionalFormatting>
  <conditionalFormatting sqref="O16:O17">
    <cfRule type="containsText" dxfId="6019" priority="8331" operator="containsText" text="ENTREGADO">
      <formula>NOT(ISERROR(SEARCH("ENTREGADO",O16)))</formula>
    </cfRule>
  </conditionalFormatting>
  <conditionalFormatting sqref="O17">
    <cfRule type="containsText" dxfId="6018" priority="8329" operator="containsText" text="ENTREGADO">
      <formula>NOT(ISERROR(SEARCH("ENTREGADO",O17)))</formula>
    </cfRule>
    <cfRule type="containsText" dxfId="6017" priority="8330" operator="containsText" text="PRIORIDAD">
      <formula>NOT(ISERROR(SEARCH("PRIORIDAD",O17)))</formula>
    </cfRule>
  </conditionalFormatting>
  <conditionalFormatting sqref="O18">
    <cfRule type="containsText" dxfId="6016" priority="10364" operator="containsText" text="PRIORIDAD">
      <formula>NOT(ISERROR(SEARCH("PRIORIDAD",O18)))</formula>
    </cfRule>
    <cfRule type="containsText" dxfId="6015" priority="10365" operator="containsText" text="ENTREGADO">
      <formula>NOT(ISERROR(SEARCH("ENTREGADO",O18)))</formula>
    </cfRule>
  </conditionalFormatting>
  <conditionalFormatting sqref="O20">
    <cfRule type="containsText" dxfId="6014" priority="13716" operator="containsText" text="ENTREGADO">
      <formula>NOT(ISERROR(SEARCH("ENTREGADO",O20)))</formula>
    </cfRule>
  </conditionalFormatting>
  <conditionalFormatting sqref="O22">
    <cfRule type="containsText" dxfId="6013" priority="10749" operator="containsText" text="PRIORIDAD">
      <formula>NOT(ISERROR(SEARCH("PRIORIDAD",O22)))</formula>
    </cfRule>
    <cfRule type="containsText" dxfId="6012" priority="10750" operator="containsText" text="ENTREGADO">
      <formula>NOT(ISERROR(SEARCH("ENTREGADO",O22)))</formula>
    </cfRule>
  </conditionalFormatting>
  <conditionalFormatting sqref="O23">
    <cfRule type="containsText" dxfId="6011" priority="6653" operator="containsText" text="PRIORIDAD">
      <formula>NOT(ISERROR(SEARCH("PRIORIDAD",O23)))</formula>
    </cfRule>
    <cfRule type="containsText" dxfId="6010" priority="6652" operator="containsText" text="ENTREGADO">
      <formula>NOT(ISERROR(SEARCH("ENTREGADO",O23)))</formula>
    </cfRule>
    <cfRule type="containsText" dxfId="6009" priority="6655" operator="containsText" text="PENDIENTE">
      <formula>NOT(ISERROR(SEARCH("PENDIENTE",O23)))</formula>
    </cfRule>
  </conditionalFormatting>
  <conditionalFormatting sqref="O23:O24">
    <cfRule type="containsText" dxfId="6008" priority="6654" operator="containsText" text="ENTREGADO">
      <formula>NOT(ISERROR(SEARCH("ENTREGADO",O23)))</formula>
    </cfRule>
  </conditionalFormatting>
  <conditionalFormatting sqref="O24">
    <cfRule type="containsText" dxfId="6007" priority="6658" operator="containsText" text="PRIORIDAD">
      <formula>NOT(ISERROR(SEARCH("PRIORIDAD",O24)))</formula>
    </cfRule>
    <cfRule type="containsText" dxfId="6006" priority="6659" operator="containsText" text="ENTREGADO">
      <formula>NOT(ISERROR(SEARCH("ENTREGADO",O24)))</formula>
    </cfRule>
  </conditionalFormatting>
  <conditionalFormatting sqref="O27">
    <cfRule type="containsText" dxfId="6005" priority="12179" operator="containsText" text="PRIORIDAD">
      <formula>NOT(ISERROR(SEARCH("PRIORIDAD",O27)))</formula>
    </cfRule>
    <cfRule type="containsText" dxfId="6004" priority="12178" operator="containsText" text="ENTREGADO">
      <formula>NOT(ISERROR(SEARCH("ENTREGADO",O27)))</formula>
    </cfRule>
    <cfRule type="containsText" dxfId="6003" priority="12176" operator="containsText" text="PENDIENTE">
      <formula>NOT(ISERROR(SEARCH("PENDIENTE",O27)))</formula>
    </cfRule>
  </conditionalFormatting>
  <conditionalFormatting sqref="O27:O31">
    <cfRule type="containsText" dxfId="6002" priority="12175" operator="containsText" text="ENTREGADO">
      <formula>NOT(ISERROR(SEARCH("ENTREGADO",O27)))</formula>
    </cfRule>
  </conditionalFormatting>
  <conditionalFormatting sqref="O28:O30">
    <cfRule type="containsText" dxfId="6001" priority="21384" operator="containsText" text="ENTREGADO">
      <formula>NOT(ISERROR(SEARCH("ENTREGADO",O28)))</formula>
    </cfRule>
  </conditionalFormatting>
  <conditionalFormatting sqref="O28:O31">
    <cfRule type="containsText" dxfId="6000" priority="17479" operator="containsText" text="PENDIENTE">
      <formula>NOT(ISERROR(SEARCH("PENDIENTE",O28)))</formula>
    </cfRule>
  </conditionalFormatting>
  <conditionalFormatting sqref="O33">
    <cfRule type="containsText" dxfId="5999" priority="5909" operator="containsText" text="PRIORIDAD">
      <formula>NOT(ISERROR(SEARCH("PRIORIDAD",O33)))</formula>
    </cfRule>
    <cfRule type="containsText" dxfId="5998" priority="5903" operator="containsText" text="ENTREGADO">
      <formula>NOT(ISERROR(SEARCH("ENTREGADO",O33)))</formula>
    </cfRule>
  </conditionalFormatting>
  <conditionalFormatting sqref="O35">
    <cfRule type="containsText" dxfId="5997" priority="17342" operator="containsText" text="PENDIENTE">
      <formula>NOT(ISERROR(SEARCH("PENDIENTE",O35)))</formula>
    </cfRule>
    <cfRule type="containsText" dxfId="5996" priority="17341" operator="containsText" text="ENTREGADO">
      <formula>NOT(ISERROR(SEARCH("ENTREGADO",O35)))</formula>
    </cfRule>
    <cfRule type="containsText" dxfId="5995" priority="17340" operator="containsText" text="PENDIENTE">
      <formula>NOT(ISERROR(SEARCH("PENDIENTE",O35)))</formula>
    </cfRule>
    <cfRule type="containsText" dxfId="5994" priority="17344" operator="containsText" text="ENTREGADO">
      <formula>NOT(ISERROR(SEARCH("ENTREGADO",O35)))</formula>
    </cfRule>
    <cfRule type="containsText" dxfId="5993" priority="17343" operator="containsText" text="PRIORIDAD">
      <formula>NOT(ISERROR(SEARCH("PRIORIDAD",O35)))</formula>
    </cfRule>
  </conditionalFormatting>
  <conditionalFormatting sqref="O36">
    <cfRule type="containsText" dxfId="5992" priority="17222" operator="containsText" text="PENDIENTE">
      <formula>NOT(ISERROR(SEARCH("PENDIENTE",O36)))</formula>
    </cfRule>
    <cfRule type="containsText" dxfId="5991" priority="17221" operator="containsText" text="ENTREGADO">
      <formula>NOT(ISERROR(SEARCH("ENTREGADO",O36)))</formula>
    </cfRule>
    <cfRule type="containsText" dxfId="5990" priority="17220" operator="containsText" text="PENDIENTE">
      <formula>NOT(ISERROR(SEARCH("PENDIENTE",O36)))</formula>
    </cfRule>
    <cfRule type="containsText" dxfId="5989" priority="17224" operator="containsText" text="ENTREGADO">
      <formula>NOT(ISERROR(SEARCH("ENTREGADO",O36)))</formula>
    </cfRule>
    <cfRule type="containsText" dxfId="5988" priority="17223" operator="containsText" text="PRIORIDAD">
      <formula>NOT(ISERROR(SEARCH("PRIORIDAD",O36)))</formula>
    </cfRule>
  </conditionalFormatting>
  <conditionalFormatting sqref="O37">
    <cfRule type="containsText" dxfId="5987" priority="15794" operator="containsText" text="PENDIENTE">
      <formula>NOT(ISERROR(SEARCH("PENDIENTE",O37)))</formula>
    </cfRule>
    <cfRule type="containsText" dxfId="5986" priority="15792" operator="containsText" text="PENDIENTE">
      <formula>NOT(ISERROR(SEARCH("PENDIENTE",O37)))</formula>
    </cfRule>
    <cfRule type="containsText" dxfId="5985" priority="15796" operator="containsText" text="ENTREGADO">
      <formula>NOT(ISERROR(SEARCH("ENTREGADO",O37)))</formula>
    </cfRule>
    <cfRule type="containsText" dxfId="5984" priority="15793" operator="containsText" text="ENTREGADO">
      <formula>NOT(ISERROR(SEARCH("ENTREGADO",O37)))</formula>
    </cfRule>
    <cfRule type="containsText" dxfId="5983" priority="15795" operator="containsText" text="PRIORIDAD">
      <formula>NOT(ISERROR(SEARCH("PRIORIDAD",O37)))</formula>
    </cfRule>
  </conditionalFormatting>
  <conditionalFormatting sqref="O38 O50 O40 O54 O42:O45">
    <cfRule type="containsText" dxfId="5982" priority="5862" operator="containsText" text="ENTREGADO">
      <formula>NOT(ISERROR(SEARCH("ENTREGADO",O38)))</formula>
    </cfRule>
  </conditionalFormatting>
  <conditionalFormatting sqref="O38">
    <cfRule type="containsText" dxfId="5981" priority="5865" operator="containsText" text="PENDIENTE">
      <formula>NOT(ISERROR(SEARCH("PENDIENTE",O38)))</formula>
    </cfRule>
    <cfRule type="containsText" dxfId="5980" priority="5866" operator="containsText" text="PRIORIDAD">
      <formula>NOT(ISERROR(SEARCH("PRIORIDAD",O38)))</formula>
    </cfRule>
    <cfRule type="containsText" dxfId="5979" priority="5863" operator="containsText" text="PENDIENTE">
      <formula>NOT(ISERROR(SEARCH("PENDIENTE",O38)))</formula>
    </cfRule>
    <cfRule type="containsText" dxfId="5978" priority="5867" operator="containsText" text="ENTREGADO">
      <formula>NOT(ISERROR(SEARCH("ENTREGADO",O38)))</formula>
    </cfRule>
    <cfRule type="containsText" dxfId="5977" priority="5864" operator="containsText" text="ENTREGADO">
      <formula>NOT(ISERROR(SEARCH("ENTREGADO",O38)))</formula>
    </cfRule>
  </conditionalFormatting>
  <conditionalFormatting sqref="O39">
    <cfRule type="containsText" dxfId="5976" priority="4147" operator="containsText" text="PRIORIDAD">
      <formula>NOT(ISERROR(SEARCH("PRIORIDAD",O39)))</formula>
    </cfRule>
    <cfRule type="containsText" dxfId="5975" priority="4145" operator="containsText" text="PENDIENTE">
      <formula>NOT(ISERROR(SEARCH("PENDIENTE",O39)))</formula>
    </cfRule>
    <cfRule type="containsText" dxfId="5974" priority="4144" operator="containsText" text="ENTREGADO">
      <formula>NOT(ISERROR(SEARCH("ENTREGADO",O39)))</formula>
    </cfRule>
    <cfRule type="containsText" dxfId="5973" priority="4146" operator="containsText" text="ENTREGADO">
      <formula>NOT(ISERROR(SEARCH("ENTREGADO",O39)))</formula>
    </cfRule>
  </conditionalFormatting>
  <conditionalFormatting sqref="O40 C40:E40 BD40:BG40">
    <cfRule type="containsText" dxfId="5972" priority="7307" operator="containsText" text="PENDIENTE">
      <formula>NOT(ISERROR(SEARCH("PENDIENTE",C40)))</formula>
    </cfRule>
  </conditionalFormatting>
  <conditionalFormatting sqref="O40">
    <cfRule type="containsText" dxfId="5971" priority="7306" operator="containsText" text="ENTREGADO">
      <formula>NOT(ISERROR(SEARCH("ENTREGADO",O40)))</formula>
    </cfRule>
  </conditionalFormatting>
  <conditionalFormatting sqref="O41 AD41:AG41 AI41:AL41 AN41:AO41 AR41:BA41 C41:E41">
    <cfRule type="containsText" dxfId="5970" priority="3921" operator="containsText" text="ENTREGADO">
      <formula>NOT(ISERROR(SEARCH("ENTREGADO",C41)))</formula>
    </cfRule>
  </conditionalFormatting>
  <conditionalFormatting sqref="O42:O45">
    <cfRule type="containsText" dxfId="5969" priority="11727" operator="containsText" text="PENDIENTE">
      <formula>NOT(ISERROR(SEARCH("PENDIENTE",O42)))</formula>
    </cfRule>
    <cfRule type="containsText" dxfId="5968" priority="11729" operator="containsText" text="ENTREGADO">
      <formula>NOT(ISERROR(SEARCH("ENTREGADO",O42)))</formula>
    </cfRule>
  </conditionalFormatting>
  <conditionalFormatting sqref="O45">
    <cfRule type="containsText" dxfId="5967" priority="11728" operator="containsText" text="PRIORIDAD">
      <formula>NOT(ISERROR(SEARCH("PRIORIDAD",O45)))</formula>
    </cfRule>
  </conditionalFormatting>
  <conditionalFormatting sqref="O46:O49">
    <cfRule type="containsText" dxfId="5966" priority="4431" operator="containsText" text="PENDIENTE">
      <formula>NOT(ISERROR(SEARCH("PENDIENTE",O46)))</formula>
    </cfRule>
    <cfRule type="containsText" dxfId="5965" priority="4309" operator="containsText" text="ENTREGADO">
      <formula>NOT(ISERROR(SEARCH("ENTREGADO",O46)))</formula>
    </cfRule>
    <cfRule type="containsText" dxfId="5964" priority="4432" operator="containsText" text="PRIORIDAD">
      <formula>NOT(ISERROR(SEARCH("PRIORIDAD",O46)))</formula>
    </cfRule>
    <cfRule type="containsText" dxfId="5963" priority="4433" operator="containsText" text="ENTREGADO">
      <formula>NOT(ISERROR(SEARCH("ENTREGADO",O46)))</formula>
    </cfRule>
  </conditionalFormatting>
  <conditionalFormatting sqref="O50">
    <cfRule type="containsText" dxfId="5962" priority="9247" operator="containsText" text="PRIORIDAD">
      <formula>NOT(ISERROR(SEARCH("PRIORIDAD",O50)))</formula>
    </cfRule>
    <cfRule type="containsText" dxfId="5961" priority="9248" operator="containsText" text="ENTREGADO">
      <formula>NOT(ISERROR(SEARCH("ENTREGADO",O50)))</formula>
    </cfRule>
    <cfRule type="containsText" dxfId="5960" priority="9246" operator="containsText" text="PENDIENTE">
      <formula>NOT(ISERROR(SEARCH("PENDIENTE",O50)))</formula>
    </cfRule>
  </conditionalFormatting>
  <conditionalFormatting sqref="O51">
    <cfRule type="containsText" dxfId="5959" priority="11443" operator="containsText" text="PENDIENTE">
      <formula>NOT(ISERROR(SEARCH("PENDIENTE",O51)))</formula>
    </cfRule>
    <cfRule type="containsText" dxfId="5958" priority="11444" operator="containsText" text="ENTREGADO">
      <formula>NOT(ISERROR(SEARCH("ENTREGADO",O51)))</formula>
    </cfRule>
    <cfRule type="containsText" dxfId="5957" priority="11447" operator="containsText" text="ENTREGADO">
      <formula>NOT(ISERROR(SEARCH("ENTREGADO",O51)))</formula>
    </cfRule>
    <cfRule type="containsText" dxfId="5956" priority="11445" operator="containsText" text="PENDIENTE">
      <formula>NOT(ISERROR(SEARCH("PENDIENTE",O51)))</formula>
    </cfRule>
    <cfRule type="containsText" dxfId="5955" priority="11446" operator="containsText" text="PRIORIDAD">
      <formula>NOT(ISERROR(SEARCH("PRIORIDAD",O51)))</formula>
    </cfRule>
  </conditionalFormatting>
  <conditionalFormatting sqref="O52:O53">
    <cfRule type="containsText" dxfId="5954" priority="11163" operator="containsText" text="PENDIENTE">
      <formula>NOT(ISERROR(SEARCH("PENDIENTE",O52)))</formula>
    </cfRule>
    <cfRule type="containsText" dxfId="5953" priority="11164" operator="containsText" text="PRIORIDAD">
      <formula>NOT(ISERROR(SEARCH("PRIORIDAD",O52)))</formula>
    </cfRule>
    <cfRule type="containsText" dxfId="5952" priority="11165" operator="containsText" text="ENTREGADO">
      <formula>NOT(ISERROR(SEARCH("ENTREGADO",O52)))</formula>
    </cfRule>
  </conditionalFormatting>
  <conditionalFormatting sqref="O53">
    <cfRule type="containsText" dxfId="5951" priority="262" operator="containsText" text="PRIORIDAD">
      <formula>NOT(ISERROR(SEARCH("PRIORIDAD",O53)))</formula>
    </cfRule>
    <cfRule type="containsText" dxfId="5950" priority="260" operator="containsText" text="ENTREGADO">
      <formula>NOT(ISERROR(SEARCH("ENTREGADO",O53)))</formula>
    </cfRule>
    <cfRule type="containsText" dxfId="5949" priority="204" operator="containsText" text="ENTREGADO">
      <formula>NOT(ISERROR(SEARCH("ENTREGADO",O53)))</formula>
    </cfRule>
    <cfRule type="containsText" dxfId="5948" priority="263" operator="containsText" text="ENTREGADO">
      <formula>NOT(ISERROR(SEARCH("ENTREGADO",O53)))</formula>
    </cfRule>
    <cfRule type="containsText" dxfId="5947" priority="261" operator="containsText" text="PENDIENTE">
      <formula>NOT(ISERROR(SEARCH("PENDIENTE",O53)))</formula>
    </cfRule>
  </conditionalFormatting>
  <conditionalFormatting sqref="O54">
    <cfRule type="containsText" dxfId="5946" priority="7888" operator="containsText" text="ENTREGADO">
      <formula>NOT(ISERROR(SEARCH("ENTREGADO",O54)))</formula>
    </cfRule>
    <cfRule type="containsText" dxfId="5945" priority="7889" operator="containsText" text="PENDIENTE">
      <formula>NOT(ISERROR(SEARCH("PENDIENTE",O54)))</formula>
    </cfRule>
    <cfRule type="containsText" dxfId="5944" priority="7891" operator="containsText" text="ENTREGADO">
      <formula>NOT(ISERROR(SEARCH("ENTREGADO",O54)))</formula>
    </cfRule>
    <cfRule type="containsText" dxfId="5943" priority="7890" operator="containsText" text="PRIORIDAD">
      <formula>NOT(ISERROR(SEARCH("PRIORIDAD",O54)))</formula>
    </cfRule>
  </conditionalFormatting>
  <conditionalFormatting sqref="O55">
    <cfRule type="containsText" dxfId="5942" priority="646" operator="containsText" text="PRIORIDAD">
      <formula>NOT(ISERROR(SEARCH("PRIORIDAD",O55)))</formula>
    </cfRule>
    <cfRule type="containsText" dxfId="5941" priority="645" operator="containsText" text="PENDIENTE">
      <formula>NOT(ISERROR(SEARCH("PENDIENTE",O55)))</formula>
    </cfRule>
    <cfRule type="containsText" dxfId="5940" priority="647" operator="containsText" text="ENTREGADO">
      <formula>NOT(ISERROR(SEARCH("ENTREGADO",O55)))</formula>
    </cfRule>
  </conditionalFormatting>
  <conditionalFormatting sqref="O56">
    <cfRule type="containsText" dxfId="5939" priority="7031" operator="containsText" text="PRIORIDAD">
      <formula>NOT(ISERROR(SEARCH("PRIORIDAD",O56)))</formula>
    </cfRule>
    <cfRule type="containsText" dxfId="5938" priority="7030" operator="containsText" text="PENDIENTE">
      <formula>NOT(ISERROR(SEARCH("PENDIENTE",O56)))</formula>
    </cfRule>
  </conditionalFormatting>
  <conditionalFormatting sqref="O58">
    <cfRule type="containsText" dxfId="5937" priority="9118" operator="containsText" text="ENTREGADO">
      <formula>NOT(ISERROR(SEARCH("ENTREGADO",O58)))</formula>
    </cfRule>
    <cfRule type="containsText" dxfId="5936" priority="9115" operator="containsText" text="ENTREGADO">
      <formula>NOT(ISERROR(SEARCH("ENTREGADO",O58)))</formula>
    </cfRule>
    <cfRule type="containsText" dxfId="5935" priority="9116" operator="containsText" text="PENDIENTE">
      <formula>NOT(ISERROR(SEARCH("PENDIENTE",O58)))</formula>
    </cfRule>
    <cfRule type="containsText" dxfId="5934" priority="9117" operator="containsText" text="PRIORIDAD">
      <formula>NOT(ISERROR(SEARCH("PRIORIDAD",O58)))</formula>
    </cfRule>
  </conditionalFormatting>
  <conditionalFormatting sqref="O59">
    <cfRule type="containsText" dxfId="5933" priority="3494" operator="containsText" text="ENTREGADO">
      <formula>NOT(ISERROR(SEARCH("ENTREGADO",O59)))</formula>
    </cfRule>
    <cfRule type="containsText" dxfId="5932" priority="3547" operator="containsText" text="ENTREGADO">
      <formula>NOT(ISERROR(SEARCH("ENTREGADO",O59)))</formula>
    </cfRule>
    <cfRule type="containsText" dxfId="5931" priority="3548" operator="containsText" text="PENDIENTE">
      <formula>NOT(ISERROR(SEARCH("PENDIENTE",O59)))</formula>
    </cfRule>
    <cfRule type="containsText" dxfId="5930" priority="3550" operator="containsText" text="ENTREGADO">
      <formula>NOT(ISERROR(SEARCH("ENTREGADO",O59)))</formula>
    </cfRule>
    <cfRule type="containsText" dxfId="5929" priority="3549" operator="containsText" text="PRIORIDAD">
      <formula>NOT(ISERROR(SEARCH("PRIORIDAD",O59)))</formula>
    </cfRule>
  </conditionalFormatting>
  <conditionalFormatting sqref="O60">
    <cfRule type="containsText" dxfId="5928" priority="4715" operator="containsText" text="PENDIENTE">
      <formula>NOT(ISERROR(SEARCH("PENDIENTE",O60)))</formula>
    </cfRule>
    <cfRule type="containsText" dxfId="5927" priority="4717" operator="containsText" text="ENTREGADO">
      <formula>NOT(ISERROR(SEARCH("ENTREGADO",O60)))</formula>
    </cfRule>
    <cfRule type="containsText" dxfId="5926" priority="4661" operator="containsText" text="ENTREGADO">
      <formula>NOT(ISERROR(SEARCH("ENTREGADO",O60)))</formula>
    </cfRule>
    <cfRule type="containsText" dxfId="5925" priority="4714" operator="containsText" text="ENTREGADO">
      <formula>NOT(ISERROR(SEARCH("ENTREGADO",O60)))</formula>
    </cfRule>
    <cfRule type="containsText" dxfId="5924" priority="4716" operator="containsText" text="PRIORIDAD">
      <formula>NOT(ISERROR(SEARCH("PRIORIDAD",O60)))</formula>
    </cfRule>
  </conditionalFormatting>
  <conditionalFormatting sqref="O61">
    <cfRule type="containsText" dxfId="5923" priority="4575" operator="containsText" text="ENTREGADO">
      <formula>NOT(ISERROR(SEARCH("ENTREGADO",O61)))</formula>
    </cfRule>
    <cfRule type="containsText" dxfId="5922" priority="4576" operator="containsText" text="PENDIENTE">
      <formula>NOT(ISERROR(SEARCH("PENDIENTE",O61)))</formula>
    </cfRule>
    <cfRule type="containsText" dxfId="5921" priority="4577" operator="containsText" text="PRIORIDAD">
      <formula>NOT(ISERROR(SEARCH("PRIORIDAD",O61)))</formula>
    </cfRule>
    <cfRule type="containsText" dxfId="5920" priority="4578" operator="containsText" text="ENTREGADO">
      <formula>NOT(ISERROR(SEARCH("ENTREGADO",O61)))</formula>
    </cfRule>
    <cfRule type="containsText" dxfId="5919" priority="4522" operator="containsText" text="ENTREGADO">
      <formula>NOT(ISERROR(SEARCH("ENTREGADO",O61)))</formula>
    </cfRule>
  </conditionalFormatting>
  <conditionalFormatting sqref="O71">
    <cfRule type="containsText" dxfId="5918" priority="9755" operator="containsText" text="ENTREGADO">
      <formula>NOT(ISERROR(SEARCH("ENTREGADO",O71)))</formula>
    </cfRule>
  </conditionalFormatting>
  <conditionalFormatting sqref="O71:O73">
    <cfRule type="containsText" dxfId="5917" priority="6419" operator="containsText" text="ENTREGADO">
      <formula>NOT(ISERROR(SEARCH("ENTREGADO",O71)))</formula>
    </cfRule>
    <cfRule type="containsText" dxfId="5916" priority="6420" operator="containsText" text="PENDIENTE">
      <formula>NOT(ISERROR(SEARCH("PENDIENTE",O71)))</formula>
    </cfRule>
  </conditionalFormatting>
  <conditionalFormatting sqref="O72">
    <cfRule type="containsText" dxfId="5915" priority="6676" operator="containsText" text="ENTREGADO">
      <formula>NOT(ISERROR(SEARCH("ENTREGADO",O72)))</formula>
    </cfRule>
  </conditionalFormatting>
  <conditionalFormatting sqref="O73">
    <cfRule type="containsText" dxfId="5914" priority="6549" operator="containsText" text="ENTREGADO">
      <formula>NOT(ISERROR(SEARCH("ENTREGADO",O73)))</formula>
    </cfRule>
  </conditionalFormatting>
  <conditionalFormatting sqref="O74">
    <cfRule type="containsText" dxfId="5913" priority="3571" operator="containsText" text="ENTREGADO">
      <formula>NOT(ISERROR(SEARCH("ENTREGADO",O74)))</formula>
    </cfRule>
    <cfRule type="containsText" dxfId="5912" priority="3573" operator="containsText" text="ENTREGADO">
      <formula>NOT(ISERROR(SEARCH("ENTREGADO",O74)))</formula>
    </cfRule>
    <cfRule type="containsText" dxfId="5911" priority="3572" operator="containsText" text="PENDIENTE">
      <formula>NOT(ISERROR(SEARCH("PENDIENTE",O74)))</formula>
    </cfRule>
  </conditionalFormatting>
  <conditionalFormatting sqref="O75">
    <cfRule type="containsText" dxfId="5910" priority="4853" operator="containsText" text="ENTREGADO">
      <formula>NOT(ISERROR(SEARCH("ENTREGADO",O75)))</formula>
    </cfRule>
    <cfRule type="containsText" dxfId="5909" priority="4856" operator="containsText" text="ENTREGADO">
      <formula>NOT(ISERROR(SEARCH("ENTREGADO",O75)))</formula>
    </cfRule>
    <cfRule type="containsText" dxfId="5908" priority="4800" operator="containsText" text="ENTREGADO">
      <formula>NOT(ISERROR(SEARCH("ENTREGADO",O75)))</formula>
    </cfRule>
    <cfRule type="containsText" dxfId="5907" priority="4854" operator="containsText" text="PENDIENTE">
      <formula>NOT(ISERROR(SEARCH("PENDIENTE",O75)))</formula>
    </cfRule>
  </conditionalFormatting>
  <conditionalFormatting sqref="O76 O80:O81 O83:O84">
    <cfRule type="containsText" dxfId="5906" priority="2914" operator="containsText" text="ENTREGADO">
      <formula>NOT(ISERROR(SEARCH("ENTREGADO",O76)))</formula>
    </cfRule>
    <cfRule type="containsText" dxfId="5905" priority="2962" operator="containsText" text="ENTREGADO">
      <formula>NOT(ISERROR(SEARCH("ENTREGADO",O76)))</formula>
    </cfRule>
    <cfRule type="containsText" dxfId="5904" priority="2963" operator="containsText" text="PENDIENTE">
      <formula>NOT(ISERROR(SEARCH("PENDIENTE",O76)))</formula>
    </cfRule>
    <cfRule type="containsText" dxfId="5903" priority="2965" operator="containsText" text="ENTREGADO">
      <formula>NOT(ISERROR(SEARCH("ENTREGADO",O76)))</formula>
    </cfRule>
  </conditionalFormatting>
  <conditionalFormatting sqref="O77">
    <cfRule type="containsText" dxfId="5902" priority="1948" operator="containsText" text="PENDIENTE">
      <formula>NOT(ISERROR(SEARCH("PENDIENTE",O77)))</formula>
    </cfRule>
    <cfRule type="containsText" dxfId="5901" priority="1952" operator="containsText" text="ENTREGADO">
      <formula>NOT(ISERROR(SEARCH("ENTREGADO",O77)))</formula>
    </cfRule>
    <cfRule type="containsText" dxfId="5900" priority="1951" operator="containsText" text="PRIORIDAD">
      <formula>NOT(ISERROR(SEARCH("PRIORIDAD",O77)))</formula>
    </cfRule>
    <cfRule type="containsText" dxfId="5899" priority="1950" operator="containsText" text="PENDIENTE">
      <formula>NOT(ISERROR(SEARCH("PENDIENTE",O77)))</formula>
    </cfRule>
    <cfRule type="containsText" dxfId="5898" priority="1949" operator="containsText" text="ENTREGADO">
      <formula>NOT(ISERROR(SEARCH("ENTREGADO",O77)))</formula>
    </cfRule>
    <cfRule type="containsText" dxfId="5897" priority="1947" operator="containsText" text="ENTREGADO">
      <formula>NOT(ISERROR(SEARCH("ENTREGADO",O77)))</formula>
    </cfRule>
  </conditionalFormatting>
  <conditionalFormatting sqref="O78">
    <cfRule type="containsText" dxfId="5896" priority="1663" operator="containsText" text="ENTREGADO">
      <formula>NOT(ISERROR(SEARCH("ENTREGADO",O78)))</formula>
    </cfRule>
    <cfRule type="containsText" dxfId="5895" priority="1664" operator="containsText" text="PENDIENTE">
      <formula>NOT(ISERROR(SEARCH("PENDIENTE",O78)))</formula>
    </cfRule>
    <cfRule type="containsText" dxfId="5894" priority="1666" operator="containsText" text="ENTREGADO">
      <formula>NOT(ISERROR(SEARCH("ENTREGADO",O78)))</formula>
    </cfRule>
  </conditionalFormatting>
  <conditionalFormatting sqref="O82">
    <cfRule type="containsText" dxfId="5893" priority="1399" operator="containsText" text="PENDIENTE">
      <formula>NOT(ISERROR(SEARCH("PENDIENTE",O82)))</formula>
    </cfRule>
    <cfRule type="containsText" dxfId="5892" priority="1401" operator="containsText" text="ENTREGADO">
      <formula>NOT(ISERROR(SEARCH("ENTREGADO",O82)))</formula>
    </cfRule>
    <cfRule type="containsText" dxfId="5891" priority="1398" operator="containsText" text="ENTREGADO">
      <formula>NOT(ISERROR(SEARCH("ENTREGADO",O82)))</formula>
    </cfRule>
    <cfRule type="containsText" dxfId="5890" priority="1350" operator="containsText" text="ENTREGADO">
      <formula>NOT(ISERROR(SEARCH("ENTREGADO",O82)))</formula>
    </cfRule>
  </conditionalFormatting>
  <conditionalFormatting sqref="O85">
    <cfRule type="containsText" dxfId="5889" priority="2704" operator="containsText" text="ENTREGADO">
      <formula>NOT(ISERROR(SEARCH("ENTREGADO",O85)))</formula>
    </cfRule>
    <cfRule type="containsText" dxfId="5888" priority="2656" operator="containsText" text="ENTREGADO">
      <formula>NOT(ISERROR(SEARCH("ENTREGADO",O85)))</formula>
    </cfRule>
    <cfRule type="containsText" dxfId="5887" priority="2705" operator="containsText" text="PENDIENTE">
      <formula>NOT(ISERROR(SEARCH("PENDIENTE",O85)))</formula>
    </cfRule>
    <cfRule type="containsText" dxfId="5886" priority="2707" operator="containsText" text="ENTREGADO">
      <formula>NOT(ISERROR(SEARCH("ENTREGADO",O85)))</formula>
    </cfRule>
  </conditionalFormatting>
  <conditionalFormatting sqref="O86">
    <cfRule type="containsText" dxfId="5885" priority="2549" operator="containsText" text="ENTREGADO">
      <formula>NOT(ISERROR(SEARCH("ENTREGADO",O86)))</formula>
    </cfRule>
    <cfRule type="containsText" dxfId="5884" priority="2550" operator="containsText" text="PENDIENTE">
      <formula>NOT(ISERROR(SEARCH("PENDIENTE",O86)))</formula>
    </cfRule>
    <cfRule type="containsText" dxfId="5883" priority="2501" operator="containsText" text="ENTREGADO">
      <formula>NOT(ISERROR(SEARCH("ENTREGADO",O86)))</formula>
    </cfRule>
    <cfRule type="containsText" dxfId="5882" priority="2552" operator="containsText" text="ENTREGADO">
      <formula>NOT(ISERROR(SEARCH("ENTREGADO",O86)))</formula>
    </cfRule>
  </conditionalFormatting>
  <conditionalFormatting sqref="O87">
    <cfRule type="containsText" dxfId="5881" priority="2423" operator="containsText" text="ENTREGADO">
      <formula>NOT(ISERROR(SEARCH("ENTREGADO",O87)))</formula>
    </cfRule>
    <cfRule type="containsText" dxfId="5880" priority="2421" operator="containsText" text="PENDIENTE">
      <formula>NOT(ISERROR(SEARCH("PENDIENTE",O87)))</formula>
    </cfRule>
    <cfRule type="containsText" dxfId="5879" priority="2420" operator="containsText" text="ENTREGADO">
      <formula>NOT(ISERROR(SEARCH("ENTREGADO",O87)))</formula>
    </cfRule>
    <cfRule type="containsText" dxfId="5878" priority="2372" operator="containsText" text="ENTREGADO">
      <formula>NOT(ISERROR(SEARCH("ENTREGADO",O87)))</formula>
    </cfRule>
  </conditionalFormatting>
  <conditionalFormatting sqref="O88">
    <cfRule type="containsText" dxfId="5877" priority="2291" operator="containsText" text="ENTREGADO">
      <formula>NOT(ISERROR(SEARCH("ENTREGADO",O88)))</formula>
    </cfRule>
    <cfRule type="containsText" dxfId="5876" priority="2292" operator="containsText" text="PENDIENTE">
      <formula>NOT(ISERROR(SEARCH("PENDIENTE",O88)))</formula>
    </cfRule>
    <cfRule type="containsText" dxfId="5875" priority="2294" operator="containsText" text="ENTREGADO">
      <formula>NOT(ISERROR(SEARCH("ENTREGADO",O88)))</formula>
    </cfRule>
    <cfRule type="containsText" dxfId="5874" priority="2243" operator="containsText" text="ENTREGADO">
      <formula>NOT(ISERROR(SEARCH("ENTREGADO",O88)))</formula>
    </cfRule>
  </conditionalFormatting>
  <conditionalFormatting sqref="O89">
    <cfRule type="containsText" dxfId="5873" priority="1911" operator="containsText" text="PENDIENTE">
      <formula>NOT(ISERROR(SEARCH("PENDIENTE",O89)))</formula>
    </cfRule>
    <cfRule type="containsText" dxfId="5872" priority="1910" operator="containsText" text="ENTREGADO">
      <formula>NOT(ISERROR(SEARCH("ENTREGADO",O89)))</formula>
    </cfRule>
    <cfRule type="containsText" dxfId="5871" priority="1862" operator="containsText" text="ENTREGADO">
      <formula>NOT(ISERROR(SEARCH("ENTREGADO",O89)))</formula>
    </cfRule>
    <cfRule type="containsText" dxfId="5870" priority="1913" operator="containsText" text="ENTREGADO">
      <formula>NOT(ISERROR(SEARCH("ENTREGADO",O89)))</formula>
    </cfRule>
  </conditionalFormatting>
  <conditionalFormatting sqref="O90">
    <cfRule type="containsText" dxfId="5869" priority="1236" operator="containsText" text="PENDIENTE">
      <formula>NOT(ISERROR(SEARCH("PENDIENTE",O90)))</formula>
    </cfRule>
    <cfRule type="containsText" dxfId="5868" priority="1187" operator="containsText" text="ENTREGADO">
      <formula>NOT(ISERROR(SEARCH("ENTREGADO",O90)))</formula>
    </cfRule>
    <cfRule type="containsText" dxfId="5867" priority="1235" operator="containsText" text="ENTREGADO">
      <formula>NOT(ISERROR(SEARCH("ENTREGADO",O90)))</formula>
    </cfRule>
    <cfRule type="containsText" dxfId="5866" priority="1238" operator="containsText" text="ENTREGADO">
      <formula>NOT(ISERROR(SEARCH("ENTREGADO",O90)))</formula>
    </cfRule>
  </conditionalFormatting>
  <conditionalFormatting sqref="O91">
    <cfRule type="containsText" dxfId="5865" priority="1007" operator="containsText" text="ENTREGADO">
      <formula>NOT(ISERROR(SEARCH("ENTREGADO",O91)))</formula>
    </cfRule>
    <cfRule type="containsText" dxfId="5864" priority="1058" operator="containsText" text="ENTREGADO">
      <formula>NOT(ISERROR(SEARCH("ENTREGADO",O91)))</formula>
    </cfRule>
    <cfRule type="containsText" dxfId="5863" priority="1056" operator="containsText" text="PENDIENTE">
      <formula>NOT(ISERROR(SEARCH("PENDIENTE",O91)))</formula>
    </cfRule>
    <cfRule type="containsText" dxfId="5862" priority="1055" operator="containsText" text="ENTREGADO">
      <formula>NOT(ISERROR(SEARCH("ENTREGADO",O91)))</formula>
    </cfRule>
  </conditionalFormatting>
  <conditionalFormatting sqref="O92">
    <cfRule type="containsText" dxfId="5861" priority="917" operator="containsText" text="ENTREGADO">
      <formula>NOT(ISERROR(SEARCH("ENTREGADO",O92)))</formula>
    </cfRule>
    <cfRule type="containsText" dxfId="5860" priority="915" operator="containsText" text="PENDIENTE">
      <formula>NOT(ISERROR(SEARCH("PENDIENTE",O92)))</formula>
    </cfRule>
    <cfRule type="containsText" dxfId="5859" priority="914" operator="containsText" text="ENTREGADO">
      <formula>NOT(ISERROR(SEARCH("ENTREGADO",O92)))</formula>
    </cfRule>
    <cfRule type="containsText" dxfId="5858" priority="866" operator="containsText" text="ENTREGADO">
      <formula>NOT(ISERROR(SEARCH("ENTREGADO",O92)))</formula>
    </cfRule>
  </conditionalFormatting>
  <conditionalFormatting sqref="O3:P3">
    <cfRule type="containsText" dxfId="5857" priority="21134" operator="containsText" text="ENTREGADO">
      <formula>NOT(ISERROR(SEARCH("ENTREGADO",O3)))</formula>
    </cfRule>
  </conditionalFormatting>
  <conditionalFormatting sqref="O3:P22">
    <cfRule type="containsText" dxfId="5856" priority="7360" operator="containsText" text="ENTREGADO">
      <formula>NOT(ISERROR(SEARCH("ENTREGADO",O3)))</formula>
    </cfRule>
  </conditionalFormatting>
  <conditionalFormatting sqref="O4:P4">
    <cfRule type="containsText" dxfId="5855" priority="18494" operator="containsText" text="PRIORIDAD">
      <formula>NOT(ISERROR(SEARCH("PRIORIDAD",O4)))</formula>
    </cfRule>
  </conditionalFormatting>
  <conditionalFormatting sqref="O4:P5">
    <cfRule type="containsText" dxfId="5854" priority="15846" operator="containsText" text="ENTREGADO">
      <formula>NOT(ISERROR(SEARCH("ENTREGADO",O4)))</formula>
    </cfRule>
  </conditionalFormatting>
  <conditionalFormatting sqref="O6:P7">
    <cfRule type="containsText" dxfId="5853" priority="13919" operator="containsText" text="ENTREGADO">
      <formula>NOT(ISERROR(SEARCH("ENTREGADO",O6)))</formula>
    </cfRule>
  </conditionalFormatting>
  <conditionalFormatting sqref="O8:P8">
    <cfRule type="containsText" dxfId="5852" priority="13600" operator="containsText" text="ENTREGADO">
      <formula>NOT(ISERROR(SEARCH("ENTREGADO",O8)))</formula>
    </cfRule>
  </conditionalFormatting>
  <conditionalFormatting sqref="O9:P9 S24:S26">
    <cfRule type="containsText" dxfId="5851" priority="9516" operator="containsText" text="PRIORIDAD">
      <formula>NOT(ISERROR(SEARCH("PRIORIDAD",O9)))</formula>
    </cfRule>
  </conditionalFormatting>
  <conditionalFormatting sqref="O12:P12">
    <cfRule type="containsText" dxfId="5850" priority="8776" operator="containsText" text="ENTREGADO">
      <formula>NOT(ISERROR(SEARCH("ENTREGADO",O12)))</formula>
    </cfRule>
  </conditionalFormatting>
  <conditionalFormatting sqref="O18:P18">
    <cfRule type="containsText" dxfId="5849" priority="10349" operator="containsText" text="ENTREGADO">
      <formula>NOT(ISERROR(SEARCH("ENTREGADO",O18)))</formula>
    </cfRule>
  </conditionalFormatting>
  <conditionalFormatting sqref="O18:P22">
    <cfRule type="containsText" dxfId="5848" priority="7361" operator="containsText" text="PENDIENTE">
      <formula>NOT(ISERROR(SEARCH("PENDIENTE",O18)))</formula>
    </cfRule>
  </conditionalFormatting>
  <conditionalFormatting sqref="O19:P19">
    <cfRule type="containsText" dxfId="5847" priority="13913" operator="containsText" text="ENTREGADO">
      <formula>NOT(ISERROR(SEARCH("ENTREGADO",O19)))</formula>
    </cfRule>
  </conditionalFormatting>
  <conditionalFormatting sqref="O20:P20">
    <cfRule type="containsText" dxfId="5846" priority="12637" operator="containsText" text="PRIORIDAD">
      <formula>NOT(ISERROR(SEARCH("PRIORIDAD",O20)))</formula>
    </cfRule>
  </conditionalFormatting>
  <conditionalFormatting sqref="O20:P21">
    <cfRule type="containsText" dxfId="5845" priority="12632" operator="containsText" text="ENTREGADO">
      <formula>NOT(ISERROR(SEARCH("ENTREGADO",O20)))</formula>
    </cfRule>
  </conditionalFormatting>
  <conditionalFormatting sqref="O21:P21">
    <cfRule type="containsText" dxfId="5844" priority="12631" operator="containsText" text="PRIORIDAD">
      <formula>NOT(ISERROR(SEARCH("PRIORIDAD",O21)))</formula>
    </cfRule>
    <cfRule type="containsText" dxfId="5843" priority="12630" operator="containsText" text="ENTREGADO">
      <formula>NOT(ISERROR(SEARCH("ENTREGADO",O21)))</formula>
    </cfRule>
  </conditionalFormatting>
  <conditionalFormatting sqref="O23:P23">
    <cfRule type="containsText" dxfId="5842" priority="6656" operator="containsText" text="ENTREGADO">
      <formula>NOT(ISERROR(SEARCH("ENTREGADO",O23)))</formula>
    </cfRule>
  </conditionalFormatting>
  <conditionalFormatting sqref="O24:P24 P22">
    <cfRule type="containsText" dxfId="5841" priority="10596" operator="containsText" text="ENTREGADO">
      <formula>NOT(ISERROR(SEARCH("ENTREGADO",O22)))</formula>
    </cfRule>
  </conditionalFormatting>
  <conditionalFormatting sqref="O24:P24">
    <cfRule type="containsText" dxfId="5840" priority="10595" operator="containsText" text="PRIORIDAD">
      <formula>NOT(ISERROR(SEARCH("PRIORIDAD",O24)))</formula>
    </cfRule>
  </conditionalFormatting>
  <conditionalFormatting sqref="O27:P27">
    <cfRule type="containsText" dxfId="5839" priority="12180" operator="containsText" text="ENTREGADO">
      <formula>NOT(ISERROR(SEARCH("ENTREGADO",O27)))</formula>
    </cfRule>
  </conditionalFormatting>
  <conditionalFormatting sqref="O28:P28">
    <cfRule type="containsText" dxfId="5838" priority="21382" operator="containsText" text="ENTREGADO">
      <formula>NOT(ISERROR(SEARCH("ENTREGADO",O28)))</formula>
    </cfRule>
    <cfRule type="containsText" dxfId="5837" priority="21383" operator="containsText" text="PRIORIDAD">
      <formula>NOT(ISERROR(SEARCH("PRIORIDAD",O28)))</formula>
    </cfRule>
  </conditionalFormatting>
  <conditionalFormatting sqref="O31:P31">
    <cfRule type="containsText" dxfId="5836" priority="17402" operator="containsText" text="PENDIENTE">
      <formula>NOT(ISERROR(SEARCH("PENDIENTE",O31)))</formula>
    </cfRule>
    <cfRule type="containsText" dxfId="5835" priority="17403" operator="containsText" text="ENTREGADO">
      <formula>NOT(ISERROR(SEARCH("ENTREGADO",O31)))</formula>
    </cfRule>
  </conditionalFormatting>
  <conditionalFormatting sqref="O32:P32 O34:P34">
    <cfRule type="containsText" dxfId="5834" priority="19934" operator="containsText" text="ENTREGADO">
      <formula>NOT(ISERROR(SEARCH("ENTREGADO",O32)))</formula>
    </cfRule>
  </conditionalFormatting>
  <conditionalFormatting sqref="O33:P33">
    <cfRule type="containsText" dxfId="5833" priority="5887" operator="containsText" text="ENTREGADO">
      <formula>NOT(ISERROR(SEARCH("ENTREGADO",O33)))</formula>
    </cfRule>
    <cfRule type="containsText" dxfId="5832" priority="5902" operator="containsText" text="PENDIENTE">
      <formula>NOT(ISERROR(SEARCH("PENDIENTE",O33)))</formula>
    </cfRule>
    <cfRule type="containsText" dxfId="5831" priority="5910" operator="containsText" text="ENTREGADO">
      <formula>NOT(ISERROR(SEARCH("ENTREGADO",O33)))</formula>
    </cfRule>
  </conditionalFormatting>
  <conditionalFormatting sqref="O34:P34">
    <cfRule type="containsText" dxfId="5830" priority="20284" operator="containsText" text="PENDIENTE">
      <formula>NOT(ISERROR(SEARCH("PENDIENTE",O34)))</formula>
    </cfRule>
  </conditionalFormatting>
  <conditionalFormatting sqref="O35:P35">
    <cfRule type="containsText" dxfId="5829" priority="17258" operator="containsText" text="ENTREGADO">
      <formula>NOT(ISERROR(SEARCH("ENTREGADO",O35)))</formula>
    </cfRule>
  </conditionalFormatting>
  <conditionalFormatting sqref="O36:P36">
    <cfRule type="containsText" dxfId="5828" priority="17138" operator="containsText" text="ENTREGADO">
      <formula>NOT(ISERROR(SEARCH("ENTREGADO",O36)))</formula>
    </cfRule>
  </conditionalFormatting>
  <conditionalFormatting sqref="O37:P37">
    <cfRule type="containsText" dxfId="5827" priority="15719" operator="containsText" text="ENTREGADO">
      <formula>NOT(ISERROR(SEARCH("ENTREGADO",O37)))</formula>
    </cfRule>
  </conditionalFormatting>
  <conditionalFormatting sqref="O39:P39">
    <cfRule type="containsText" dxfId="5826" priority="4148" operator="containsText" text="ENTREGADO">
      <formula>NOT(ISERROR(SEARCH("ENTREGADO",O39)))</formula>
    </cfRule>
  </conditionalFormatting>
  <conditionalFormatting sqref="O40:P40">
    <cfRule type="containsText" dxfId="5825" priority="7286" operator="containsText" text="PENDIENTE">
      <formula>NOT(ISERROR(SEARCH("PENDIENTE",O40)))</formula>
    </cfRule>
  </conditionalFormatting>
  <conditionalFormatting sqref="O41:P41">
    <cfRule type="containsText" dxfId="5824" priority="3792" operator="containsText" text="ENTREGADO">
      <formula>NOT(ISERROR(SEARCH("ENTREGADO",O41)))</formula>
    </cfRule>
    <cfRule type="containsText" dxfId="5823" priority="3900" operator="containsText" text="PENDIENTE">
      <formula>NOT(ISERROR(SEARCH("PENDIENTE",O41)))</formula>
    </cfRule>
  </conditionalFormatting>
  <conditionalFormatting sqref="O45:P45">
    <cfRule type="containsText" dxfId="5822" priority="11653" operator="containsText" text="ENTREGADO">
      <formula>NOT(ISERROR(SEARCH("ENTREGADO",O45)))</formula>
    </cfRule>
  </conditionalFormatting>
  <conditionalFormatting sqref="O46:P49">
    <cfRule type="containsText" dxfId="5821" priority="4398" operator="containsText" text="ENTREGADO">
      <formula>NOT(ISERROR(SEARCH("ENTREGADO",O46)))</formula>
    </cfRule>
  </conditionalFormatting>
  <conditionalFormatting sqref="O50:P50">
    <cfRule type="containsText" dxfId="5820" priority="9172" operator="containsText" text="ENTREGADO">
      <formula>NOT(ISERROR(SEARCH("ENTREGADO",O50)))</formula>
    </cfRule>
    <cfRule type="containsText" dxfId="5819" priority="9146" operator="containsText" text="PENDIENTE">
      <formula>NOT(ISERROR(SEARCH("PENDIENTE",O50)))</formula>
    </cfRule>
  </conditionalFormatting>
  <conditionalFormatting sqref="O51:P51">
    <cfRule type="containsText" dxfId="5818" priority="11370" operator="containsText" text="ENTREGADO">
      <formula>NOT(ISERROR(SEARCH("ENTREGADO",O51)))</formula>
    </cfRule>
  </conditionalFormatting>
  <conditionalFormatting sqref="O52:P53">
    <cfRule type="containsText" dxfId="5817" priority="9268" operator="containsText" text="PENDIENTE">
      <formula>NOT(ISERROR(SEARCH("PENDIENTE",O52)))</formula>
    </cfRule>
  </conditionalFormatting>
  <conditionalFormatting sqref="O53:P53">
    <cfRule type="containsText" dxfId="5816" priority="207" operator="containsText" text="PENDIENTE">
      <formula>NOT(ISERROR(SEARCH("PENDIENTE",O53)))</formula>
    </cfRule>
  </conditionalFormatting>
  <conditionalFormatting sqref="O54:P54">
    <cfRule type="containsText" dxfId="5815" priority="7059" operator="containsText" text="PENDIENTE">
      <formula>NOT(ISERROR(SEARCH("PENDIENTE",O54)))</formula>
    </cfRule>
  </conditionalFormatting>
  <conditionalFormatting sqref="O55:P55">
    <cfRule type="containsText" dxfId="5814" priority="597" operator="containsText" text="PENDIENTE">
      <formula>NOT(ISERROR(SEARCH("PENDIENTE",O55)))</formula>
    </cfRule>
  </conditionalFormatting>
  <conditionalFormatting sqref="O56:P56">
    <cfRule type="containsText" dxfId="5813" priority="6951" operator="containsText" text="PENDIENTE">
      <formula>NOT(ISERROR(SEARCH("PENDIENTE",O56)))</formula>
    </cfRule>
  </conditionalFormatting>
  <conditionalFormatting sqref="O57:P57">
    <cfRule type="containsText" dxfId="5812" priority="9262" operator="containsText" text="PENDIENTE">
      <formula>NOT(ISERROR(SEARCH("PENDIENTE",O57)))</formula>
    </cfRule>
  </conditionalFormatting>
  <conditionalFormatting sqref="O58:P58">
    <cfRule type="containsText" dxfId="5811" priority="9039" operator="containsText" text="PENDIENTE">
      <formula>NOT(ISERROR(SEARCH("PENDIENTE",O58)))</formula>
    </cfRule>
  </conditionalFormatting>
  <conditionalFormatting sqref="O59:P59">
    <cfRule type="containsText" dxfId="5810" priority="3520" operator="containsText" text="PENDIENTE">
      <formula>NOT(ISERROR(SEARCH("PENDIENTE",O59)))</formula>
    </cfRule>
  </conditionalFormatting>
  <conditionalFormatting sqref="O60:P60">
    <cfRule type="containsText" dxfId="5809" priority="4687" operator="containsText" text="PENDIENTE">
      <formula>NOT(ISERROR(SEARCH("PENDIENTE",O60)))</formula>
    </cfRule>
  </conditionalFormatting>
  <conditionalFormatting sqref="O61:P61">
    <cfRule type="containsText" dxfId="5808" priority="4548" operator="containsText" text="PENDIENTE">
      <formula>NOT(ISERROR(SEARCH("PENDIENTE",O61)))</formula>
    </cfRule>
  </conditionalFormatting>
  <conditionalFormatting sqref="O63:P69">
    <cfRule type="containsText" dxfId="5807" priority="7385" operator="containsText" text="ENTREGADO">
      <formula>NOT(ISERROR(SEARCH("ENTREGADO",O63)))</formula>
    </cfRule>
    <cfRule type="containsText" dxfId="5806" priority="7382" operator="containsText" text="ENTREGADO">
      <formula>NOT(ISERROR(SEARCH("ENTREGADO",O63)))</formula>
    </cfRule>
  </conditionalFormatting>
  <conditionalFormatting sqref="O63:P70">
    <cfRule type="containsText" dxfId="5805" priority="5795" operator="containsText" text="ENTREGADO">
      <formula>NOT(ISERROR(SEARCH("ENTREGADO",O63)))</formula>
    </cfRule>
    <cfRule type="containsText" dxfId="5804" priority="5796" operator="containsText" text="PENDIENTE">
      <formula>NOT(ISERROR(SEARCH("PENDIENTE",O63)))</formula>
    </cfRule>
  </conditionalFormatting>
  <conditionalFormatting sqref="O70:P70">
    <cfRule type="containsText" dxfId="5803" priority="5797" operator="containsText" text="ENTREGADO">
      <formula>NOT(ISERROR(SEARCH("ENTREGADO",O70)))</formula>
    </cfRule>
    <cfRule type="containsText" dxfId="5802" priority="5799" operator="containsText" text="ENTREGADO">
      <formula>NOT(ISERROR(SEARCH("ENTREGADO",O70)))</formula>
    </cfRule>
  </conditionalFormatting>
  <conditionalFormatting sqref="O71:P71">
    <cfRule type="containsText" dxfId="5801" priority="9756" operator="containsText" text="PRIORIDAD">
      <formula>NOT(ISERROR(SEARCH("PRIORIDAD",O71)))</formula>
    </cfRule>
    <cfRule type="containsText" dxfId="5800" priority="9757" operator="containsText" text="ENTREGADO">
      <formula>NOT(ISERROR(SEARCH("ENTREGADO",O71)))</formula>
    </cfRule>
  </conditionalFormatting>
  <conditionalFormatting sqref="O72:P72">
    <cfRule type="containsText" dxfId="5799" priority="6677" operator="containsText" text="PRIORIDAD">
      <formula>NOT(ISERROR(SEARCH("PRIORIDAD",O72)))</formula>
    </cfRule>
    <cfRule type="containsText" dxfId="5798" priority="6678" operator="containsText" text="ENTREGADO">
      <formula>NOT(ISERROR(SEARCH("ENTREGADO",O72)))</formula>
    </cfRule>
  </conditionalFormatting>
  <conditionalFormatting sqref="O73:P73">
    <cfRule type="containsText" dxfId="5797" priority="6551" operator="containsText" text="ENTREGADO">
      <formula>NOT(ISERROR(SEARCH("ENTREGADO",O73)))</formula>
    </cfRule>
    <cfRule type="containsText" dxfId="5796" priority="6550" operator="containsText" text="PRIORIDAD">
      <formula>NOT(ISERROR(SEARCH("PRIORIDAD",O73)))</formula>
    </cfRule>
  </conditionalFormatting>
  <conditionalFormatting sqref="O74:P74">
    <cfRule type="containsText" dxfId="5795" priority="3574" operator="containsText" text="PRIORIDAD">
      <formula>NOT(ISERROR(SEARCH("PRIORIDAD",O74)))</formula>
    </cfRule>
    <cfRule type="containsText" dxfId="5794" priority="3575" operator="containsText" text="ENTREGADO">
      <formula>NOT(ISERROR(SEARCH("ENTREGADO",O74)))</formula>
    </cfRule>
  </conditionalFormatting>
  <conditionalFormatting sqref="O75:P75">
    <cfRule type="containsText" dxfId="5793" priority="4826" operator="containsText" text="PENDIENTE">
      <formula>NOT(ISERROR(SEARCH("PENDIENTE",O75)))</formula>
    </cfRule>
  </conditionalFormatting>
  <conditionalFormatting sqref="O76:P76 O80:P81 O83:P84">
    <cfRule type="containsText" dxfId="5792" priority="2936" operator="containsText" text="PENDIENTE">
      <formula>NOT(ISERROR(SEARCH("PENDIENTE",O76)))</formula>
    </cfRule>
  </conditionalFormatting>
  <conditionalFormatting sqref="O78:P78">
    <cfRule type="containsText" dxfId="5791" priority="1636" operator="containsText" text="PENDIENTE">
      <formula>NOT(ISERROR(SEARCH("PENDIENTE",O78)))</formula>
    </cfRule>
  </conditionalFormatting>
  <conditionalFormatting sqref="O79:P79">
    <cfRule type="containsText" dxfId="5790" priority="1526" operator="containsText" text="ENTREGADO">
      <formula>NOT(ISERROR(SEARCH("ENTREGADO",O79)))</formula>
    </cfRule>
    <cfRule type="containsText" dxfId="5789" priority="1528" operator="containsText" text="ENTREGADO">
      <formula>NOT(ISERROR(SEARCH("ENTREGADO",O79)))</formula>
    </cfRule>
    <cfRule type="containsText" dxfId="5788" priority="1451" operator="containsText" text="ENTREGADO">
      <formula>NOT(ISERROR(SEARCH("ENTREGADO",O79)))</formula>
    </cfRule>
    <cfRule type="containsText" dxfId="5787" priority="1452" operator="containsText" text="PENDIENTE">
      <formula>NOT(ISERROR(SEARCH("PENDIENTE",O79)))</formula>
    </cfRule>
  </conditionalFormatting>
  <conditionalFormatting sqref="O82:P82">
    <cfRule type="containsText" dxfId="5786" priority="1372" operator="containsText" text="PENDIENTE">
      <formula>NOT(ISERROR(SEARCH("PENDIENTE",O82)))</formula>
    </cfRule>
    <cfRule type="containsText" dxfId="5785" priority="1400" operator="containsText" text="PRIORIDAD">
      <formula>NOT(ISERROR(SEARCH("PRIORIDAD",O82)))</formula>
    </cfRule>
  </conditionalFormatting>
  <conditionalFormatting sqref="O85:P85">
    <cfRule type="containsText" dxfId="5784" priority="2678" operator="containsText" text="PENDIENTE">
      <formula>NOT(ISERROR(SEARCH("PENDIENTE",O85)))</formula>
    </cfRule>
  </conditionalFormatting>
  <conditionalFormatting sqref="O86:P86">
    <cfRule type="containsText" dxfId="5783" priority="2551" operator="containsText" text="PRIORIDAD">
      <formula>NOT(ISERROR(SEARCH("PRIORIDAD",O86)))</formula>
    </cfRule>
    <cfRule type="containsText" dxfId="5782" priority="2523" operator="containsText" text="PENDIENTE">
      <formula>NOT(ISERROR(SEARCH("PENDIENTE",O86)))</formula>
    </cfRule>
  </conditionalFormatting>
  <conditionalFormatting sqref="O87:P87">
    <cfRule type="containsText" dxfId="5781" priority="2422" operator="containsText" text="PRIORIDAD">
      <formula>NOT(ISERROR(SEARCH("PRIORIDAD",O87)))</formula>
    </cfRule>
    <cfRule type="containsText" dxfId="5780" priority="2394" operator="containsText" text="PENDIENTE">
      <formula>NOT(ISERROR(SEARCH("PENDIENTE",O87)))</formula>
    </cfRule>
  </conditionalFormatting>
  <conditionalFormatting sqref="O88:P88">
    <cfRule type="containsText" dxfId="5779" priority="2265" operator="containsText" text="PENDIENTE">
      <formula>NOT(ISERROR(SEARCH("PENDIENTE",O88)))</formula>
    </cfRule>
  </conditionalFormatting>
  <conditionalFormatting sqref="O89:P89">
    <cfRule type="containsText" dxfId="5778" priority="1884" operator="containsText" text="PENDIENTE">
      <formula>NOT(ISERROR(SEARCH("PENDIENTE",O89)))</formula>
    </cfRule>
    <cfRule type="containsText" dxfId="5777" priority="1912" operator="containsText" text="PRIORIDAD">
      <formula>NOT(ISERROR(SEARCH("PRIORIDAD",O89)))</formula>
    </cfRule>
  </conditionalFormatting>
  <conditionalFormatting sqref="O90:P90">
    <cfRule type="containsText" dxfId="5776" priority="1209" operator="containsText" text="PENDIENTE">
      <formula>NOT(ISERROR(SEARCH("PENDIENTE",O90)))</formula>
    </cfRule>
    <cfRule type="containsText" dxfId="5775" priority="1237" operator="containsText" text="PRIORIDAD">
      <formula>NOT(ISERROR(SEARCH("PRIORIDAD",O90)))</formula>
    </cfRule>
  </conditionalFormatting>
  <conditionalFormatting sqref="O91:P91">
    <cfRule type="containsText" dxfId="5774" priority="1057" operator="containsText" text="PRIORIDAD">
      <formula>NOT(ISERROR(SEARCH("PRIORIDAD",O91)))</formula>
    </cfRule>
    <cfRule type="containsText" dxfId="5773" priority="1029" operator="containsText" text="PENDIENTE">
      <formula>NOT(ISERROR(SEARCH("PENDIENTE",O91)))</formula>
    </cfRule>
  </conditionalFormatting>
  <conditionalFormatting sqref="O92:P92">
    <cfRule type="containsText" dxfId="5772" priority="888" operator="containsText" text="PENDIENTE">
      <formula>NOT(ISERROR(SEARCH("PENDIENTE",O92)))</formula>
    </cfRule>
    <cfRule type="containsText" dxfId="5771" priority="916" operator="containsText" text="PRIORIDAD">
      <formula>NOT(ISERROR(SEARCH("PRIORIDAD",O92)))</formula>
    </cfRule>
  </conditionalFormatting>
  <conditionalFormatting sqref="O3:Q3">
    <cfRule type="containsText" dxfId="5770" priority="11976" operator="containsText" text="PENDIENTE">
      <formula>NOT(ISERROR(SEARCH("PENDIENTE",O3)))</formula>
    </cfRule>
  </conditionalFormatting>
  <conditionalFormatting sqref="O9:Q9">
    <cfRule type="containsText" dxfId="5769" priority="9515" operator="containsText" text="ENTREGADO">
      <formula>NOT(ISERROR(SEARCH("ENTREGADO",O9)))</formula>
    </cfRule>
  </conditionalFormatting>
  <conditionalFormatting sqref="O12:Q17">
    <cfRule type="containsText" dxfId="5768" priority="8327" operator="containsText" text="PENDIENTE">
      <formula>NOT(ISERROR(SEARCH("PENDIENTE",O12)))</formula>
    </cfRule>
  </conditionalFormatting>
  <conditionalFormatting sqref="O22:Q22">
    <cfRule type="containsText" dxfId="5767" priority="10691" operator="containsText" text="ENTREGADO">
      <formula>NOT(ISERROR(SEARCH("ENTREGADO",O22)))</formula>
    </cfRule>
  </conditionalFormatting>
  <conditionalFormatting sqref="O25:Q26 Q68:Q69">
    <cfRule type="containsText" dxfId="5766" priority="7358" operator="containsText" text="ENTREGADO">
      <formula>NOT(ISERROR(SEARCH("ENTREGADO",O25)))</formula>
    </cfRule>
  </conditionalFormatting>
  <conditionalFormatting sqref="O42:Q44">
    <cfRule type="containsText" dxfId="5765" priority="12784" operator="containsText" text="PRIORIDAD">
      <formula>NOT(ISERROR(SEARCH("PRIORIDAD",O42)))</formula>
    </cfRule>
    <cfRule type="containsText" dxfId="5764" priority="12785" operator="containsText" text="ENTREGADO">
      <formula>NOT(ISERROR(SEARCH("ENTREGADO",O42)))</formula>
    </cfRule>
  </conditionalFormatting>
  <conditionalFormatting sqref="O45:Q45">
    <cfRule type="containsText" dxfId="5763" priority="10867" operator="containsText" text="PENDIENTE">
      <formula>NOT(ISERROR(SEARCH("PENDIENTE",O45)))</formula>
    </cfRule>
  </conditionalFormatting>
  <conditionalFormatting sqref="O46:Q49">
    <cfRule type="containsText" dxfId="5762" priority="4389" operator="containsText" text="PENDIENTE">
      <formula>NOT(ISERROR(SEARCH("PENDIENTE",O46)))</formula>
    </cfRule>
  </conditionalFormatting>
  <conditionalFormatting sqref="O52:Q53">
    <cfRule type="containsText" dxfId="5761" priority="9271" operator="containsText" text="ENTREGADO">
      <formula>NOT(ISERROR(SEARCH("ENTREGADO",O52)))</formula>
    </cfRule>
  </conditionalFormatting>
  <conditionalFormatting sqref="O55:Q55">
    <cfRule type="containsText" dxfId="5760" priority="600" operator="containsText" text="ENTREGADO">
      <formula>NOT(ISERROR(SEARCH("ENTREGADO",O55)))</formula>
    </cfRule>
  </conditionalFormatting>
  <conditionalFormatting sqref="O56:Q56">
    <cfRule type="containsText" dxfId="5759" priority="6954" operator="containsText" text="ENTREGADO">
      <formula>NOT(ISERROR(SEARCH("ENTREGADO",O56)))</formula>
    </cfRule>
  </conditionalFormatting>
  <conditionalFormatting sqref="O57:Q57">
    <cfRule type="containsText" dxfId="5758" priority="9265" operator="containsText" text="ENTREGADO">
      <formula>NOT(ISERROR(SEARCH("ENTREGADO",O57)))</formula>
    </cfRule>
  </conditionalFormatting>
  <conditionalFormatting sqref="O24:R24">
    <cfRule type="containsText" dxfId="5757" priority="7538" operator="containsText" text="ENTREGADO">
      <formula>NOT(ISERROR(SEARCH("ENTREGADO",O24)))</formula>
    </cfRule>
  </conditionalFormatting>
  <conditionalFormatting sqref="O75:R75">
    <cfRule type="containsText" dxfId="5756" priority="4855" operator="containsText" text="PRIORIDAD">
      <formula>NOT(ISERROR(SEARCH("PRIORIDAD",O75)))</formula>
    </cfRule>
  </conditionalFormatting>
  <conditionalFormatting sqref="O76:R76 O80:R81 O83:R84">
    <cfRule type="containsText" dxfId="5755" priority="2964" operator="containsText" text="PRIORIDAD">
      <formula>NOT(ISERROR(SEARCH("PRIORIDAD",O76)))</formula>
    </cfRule>
  </conditionalFormatting>
  <conditionalFormatting sqref="O85:R85">
    <cfRule type="containsText" dxfId="5754" priority="2706" operator="containsText" text="PRIORIDAD">
      <formula>NOT(ISERROR(SEARCH("PRIORIDAD",O85)))</formula>
    </cfRule>
  </conditionalFormatting>
  <conditionalFormatting sqref="O88:R88">
    <cfRule type="containsText" dxfId="5753" priority="2293" operator="containsText" text="PRIORIDAD">
      <formula>NOT(ISERROR(SEARCH("PRIORIDAD",O88)))</formula>
    </cfRule>
  </conditionalFormatting>
  <conditionalFormatting sqref="P4 A3:A4 V4:X4 AD4:AF4 AH4:AI4 BH4:XFD4 D4:E4">
    <cfRule type="containsText" dxfId="5752" priority="18864" operator="containsText" text="PENDIENTE">
      <formula>NOT(ISERROR(SEARCH("PENDIENTE",A3)))</formula>
    </cfRule>
  </conditionalFormatting>
  <conditionalFormatting sqref="P4">
    <cfRule type="containsText" dxfId="5751" priority="18848" operator="containsText" text="ENTREGADO">
      <formula>NOT(ISERROR(SEARCH("ENTREGADO",P4)))</formula>
    </cfRule>
    <cfRule type="containsText" dxfId="5750" priority="18820" operator="containsText" text="PENDIENTE">
      <formula>NOT(ISERROR(SEARCH("PENDIENTE",P4)))</formula>
    </cfRule>
    <cfRule type="containsText" dxfId="5749" priority="18822" operator="containsText" text="ENTREGADO">
      <formula>NOT(ISERROR(SEARCH("ENTREGADO",P4)))</formula>
    </cfRule>
    <cfRule type="containsText" dxfId="5748" priority="18821" operator="containsText" text="ENTREGADO">
      <formula>NOT(ISERROR(SEARCH("ENTREGADO",P4)))</formula>
    </cfRule>
    <cfRule type="containsText" dxfId="5747" priority="18840" operator="containsText" text="PENDIENTE">
      <formula>NOT(ISERROR(SEARCH("PENDIENTE",P4)))</formula>
    </cfRule>
  </conditionalFormatting>
  <conditionalFormatting sqref="P5:P10">
    <cfRule type="containsText" dxfId="5746" priority="7970" operator="containsText" text="PENDIENTE">
      <formula>NOT(ISERROR(SEARCH("PENDIENTE",P5)))</formula>
    </cfRule>
  </conditionalFormatting>
  <conditionalFormatting sqref="P6">
    <cfRule type="containsText" dxfId="5745" priority="14390" operator="containsText" text="PRIORIDAD">
      <formula>NOT(ISERROR(SEARCH("PRIORIDAD",P6)))</formula>
    </cfRule>
    <cfRule type="containsText" dxfId="5744" priority="14391" operator="containsText" text="ENTREGADO">
      <formula>NOT(ISERROR(SEARCH("ENTREGADO",P6)))</formula>
    </cfRule>
  </conditionalFormatting>
  <conditionalFormatting sqref="P7">
    <cfRule type="containsText" dxfId="5743" priority="13918" operator="containsText" text="PRIORIDAD">
      <formula>NOT(ISERROR(SEARCH("PRIORIDAD",P7)))</formula>
    </cfRule>
  </conditionalFormatting>
  <conditionalFormatting sqref="P10">
    <cfRule type="containsText" dxfId="5742" priority="7973" operator="containsText" text="PRIORIDAD">
      <formula>NOT(ISERROR(SEARCH("PRIORIDAD",P10)))</formula>
    </cfRule>
    <cfRule type="containsText" dxfId="5741" priority="7972" operator="containsText" text="ENTREGADO">
      <formula>NOT(ISERROR(SEARCH("ENTREGADO",P10)))</formula>
    </cfRule>
    <cfRule type="containsText" dxfId="5740" priority="7974" operator="containsText" text="ENTREGADO">
      <formula>NOT(ISERROR(SEARCH("ENTREGADO",P10)))</formula>
    </cfRule>
  </conditionalFormatting>
  <conditionalFormatting sqref="P11 A11 G11 T11:X11 BH11:XFD11">
    <cfRule type="containsText" dxfId="5739" priority="8121" operator="containsText" text="PRIORIDAD">
      <formula>NOT(ISERROR(SEARCH("PRIORIDAD",A11)))</formula>
    </cfRule>
  </conditionalFormatting>
  <conditionalFormatting sqref="P13 A13 T13:X13 BH13:XFD13 G13">
    <cfRule type="containsText" dxfId="5738" priority="8744" operator="containsText" text="PRIORIDAD">
      <formula>NOT(ISERROR(SEARCH("PRIORIDAD",A13)))</formula>
    </cfRule>
  </conditionalFormatting>
  <conditionalFormatting sqref="P13">
    <cfRule type="containsText" dxfId="5737" priority="8740" operator="containsText" text="ENTREGADO">
      <formula>NOT(ISERROR(SEARCH("ENTREGADO",P13)))</formula>
    </cfRule>
  </conditionalFormatting>
  <conditionalFormatting sqref="P14 A14 T14:X14 BH14:XFD14 G14">
    <cfRule type="containsText" dxfId="5736" priority="8655" operator="containsText" text="PRIORIDAD">
      <formula>NOT(ISERROR(SEARCH("PRIORIDAD",A14)))</formula>
    </cfRule>
  </conditionalFormatting>
  <conditionalFormatting sqref="P14">
    <cfRule type="containsText" dxfId="5735" priority="8651" operator="containsText" text="ENTREGADO">
      <formula>NOT(ISERROR(SEARCH("ENTREGADO",P14)))</formula>
    </cfRule>
  </conditionalFormatting>
  <conditionalFormatting sqref="P15 A15 T15:X15 BH15:XFD15 G15">
    <cfRule type="containsText" dxfId="5734" priority="8566" operator="containsText" text="PRIORIDAD">
      <formula>NOT(ISERROR(SEARCH("PRIORIDAD",A15)))</formula>
    </cfRule>
  </conditionalFormatting>
  <conditionalFormatting sqref="P15">
    <cfRule type="containsText" dxfId="5733" priority="8562" operator="containsText" text="ENTREGADO">
      <formula>NOT(ISERROR(SEARCH("ENTREGADO",P15)))</formula>
    </cfRule>
  </conditionalFormatting>
  <conditionalFormatting sqref="P16 A16 T16:X16 BH16:XFD16 G16">
    <cfRule type="containsText" dxfId="5732" priority="8477" operator="containsText" text="PRIORIDAD">
      <formula>NOT(ISERROR(SEARCH("PRIORIDAD",A16)))</formula>
    </cfRule>
  </conditionalFormatting>
  <conditionalFormatting sqref="P16">
    <cfRule type="containsText" dxfId="5731" priority="8473" operator="containsText" text="ENTREGADO">
      <formula>NOT(ISERROR(SEARCH("ENTREGADO",P16)))</formula>
    </cfRule>
  </conditionalFormatting>
  <conditionalFormatting sqref="P17 A17 T17:X17 BH17:XFD17 G17">
    <cfRule type="containsText" dxfId="5730" priority="8388" operator="containsText" text="PRIORIDAD">
      <formula>NOT(ISERROR(SEARCH("PRIORIDAD",A17)))</formula>
    </cfRule>
  </conditionalFormatting>
  <conditionalFormatting sqref="P17">
    <cfRule type="containsText" dxfId="5729" priority="8384" operator="containsText" text="ENTREGADO">
      <formula>NOT(ISERROR(SEARCH("ENTREGADO",P17)))</formula>
    </cfRule>
  </conditionalFormatting>
  <conditionalFormatting sqref="P18">
    <cfRule type="containsText" dxfId="5728" priority="10348" operator="containsText" text="PRIORIDAD">
      <formula>NOT(ISERROR(SEARCH("PRIORIDAD",P18)))</formula>
    </cfRule>
  </conditionalFormatting>
  <conditionalFormatting sqref="P19">
    <cfRule type="containsText" dxfId="5727" priority="13912" operator="containsText" text="PRIORIDAD">
      <formula>NOT(ISERROR(SEARCH("PRIORIDAD",P19)))</formula>
    </cfRule>
  </conditionalFormatting>
  <conditionalFormatting sqref="P19:P20">
    <cfRule type="containsText" dxfId="5726" priority="12638" operator="containsText" text="ENTREGADO">
      <formula>NOT(ISERROR(SEARCH("ENTREGADO",P19)))</formula>
    </cfRule>
  </conditionalFormatting>
  <conditionalFormatting sqref="P23">
    <cfRule type="containsText" dxfId="5725" priority="6845" operator="containsText" text="PENDIENTE">
      <formula>NOT(ISERROR(SEARCH("PENDIENTE",P23)))</formula>
    </cfRule>
    <cfRule type="containsText" dxfId="5724" priority="6859" operator="containsText" text="ENTREGADO">
      <formula>NOT(ISERROR(SEARCH("ENTREGADO",P23)))</formula>
    </cfRule>
    <cfRule type="containsText" dxfId="5723" priority="6858" operator="containsText" text="PRIORIDAD">
      <formula>NOT(ISERROR(SEARCH("PRIORIDAD",P23)))</formula>
    </cfRule>
  </conditionalFormatting>
  <conditionalFormatting sqref="P27">
    <cfRule type="containsText" dxfId="5722" priority="12296" operator="containsText" text="ENTREGADO">
      <formula>NOT(ISERROR(SEARCH("ENTREGADO",P27)))</formula>
    </cfRule>
    <cfRule type="containsText" dxfId="5721" priority="12295" operator="containsText" text="ENTREGADO">
      <formula>NOT(ISERROR(SEARCH("ENTREGADO",P27)))</formula>
    </cfRule>
    <cfRule type="containsText" dxfId="5720" priority="12294" operator="containsText" text="ENTREGADO">
      <formula>NOT(ISERROR(SEARCH("ENTREGADO",P27)))</formula>
    </cfRule>
    <cfRule type="containsText" dxfId="5719" priority="12293" operator="containsText" text="PENDIENTE">
      <formula>NOT(ISERROR(SEARCH("PENDIENTE",P27)))</formula>
    </cfRule>
    <cfRule type="containsText" dxfId="5718" priority="12342" operator="containsText" text="ENTREGADO">
      <formula>NOT(ISERROR(SEARCH("ENTREGADO",P27)))</formula>
    </cfRule>
    <cfRule type="containsText" dxfId="5717" priority="12341" operator="containsText" text="ENTREGADO">
      <formula>NOT(ISERROR(SEARCH("ENTREGADO",P27)))</formula>
    </cfRule>
    <cfRule type="containsText" dxfId="5716" priority="12292" operator="containsText" text="PRIORIDAD">
      <formula>NOT(ISERROR(SEARCH("PRIORIDAD",P27)))</formula>
    </cfRule>
    <cfRule type="containsText" dxfId="5715" priority="12357" operator="containsText" text="ENTREGADO">
      <formula>NOT(ISERROR(SEARCH("ENTREGADO",P27)))</formula>
    </cfRule>
    <cfRule type="containsText" dxfId="5714" priority="12340" operator="containsText" text="PENDIENTE">
      <formula>NOT(ISERROR(SEARCH("PENDIENTE",P27)))</formula>
    </cfRule>
    <cfRule type="containsText" dxfId="5713" priority="12298" operator="containsText" text="ENTREGADO">
      <formula>NOT(ISERROR(SEARCH("ENTREGADO",P27)))</formula>
    </cfRule>
    <cfRule type="containsText" dxfId="5712" priority="12297" operator="containsText" text="PENDIENTE">
      <formula>NOT(ISERROR(SEARCH("PENDIENTE",P27)))</formula>
    </cfRule>
    <cfRule type="containsText" dxfId="5711" priority="12355" operator="containsText" text="PENDIENTE">
      <formula>NOT(ISERROR(SEARCH("PENDIENTE",P27)))</formula>
    </cfRule>
  </conditionalFormatting>
  <conditionalFormatting sqref="P28">
    <cfRule type="containsText" dxfId="5710" priority="22962" operator="containsText" text="ENTREGADO">
      <formula>NOT(ISERROR(SEARCH("ENTREGADO",P28)))</formula>
    </cfRule>
    <cfRule type="containsText" dxfId="5709" priority="22953" operator="containsText" text="ENTREGADO">
      <formula>NOT(ISERROR(SEARCH("ENTREGADO",P28)))</formula>
    </cfRule>
    <cfRule type="containsText" dxfId="5708" priority="22958" operator="containsText" text="ENTREGADO">
      <formula>NOT(ISERROR(SEARCH("ENTREGADO",P28)))</formula>
    </cfRule>
    <cfRule type="containsText" dxfId="5707" priority="22951" operator="containsText" text="PENDIENTE">
      <formula>NOT(ISERROR(SEARCH("PENDIENTE",P28)))</formula>
    </cfRule>
    <cfRule type="containsText" dxfId="5706" priority="22950" operator="containsText" text="ENTREGADO">
      <formula>NOT(ISERROR(SEARCH("ENTREGADO",P28)))</formula>
    </cfRule>
    <cfRule type="containsText" dxfId="5705" priority="22949" operator="containsText" text="ENTREGADO">
      <formula>NOT(ISERROR(SEARCH("ENTREGADO",P28)))</formula>
    </cfRule>
    <cfRule type="containsText" dxfId="5704" priority="22947" operator="containsText" text="PENDIENTE">
      <formula>NOT(ISERROR(SEARCH("PENDIENTE",P28)))</formula>
    </cfRule>
    <cfRule type="containsText" dxfId="5703" priority="22948" operator="containsText" text="ENTREGADO">
      <formula>NOT(ISERROR(SEARCH("ENTREGADO",P28)))</formula>
    </cfRule>
    <cfRule type="containsText" dxfId="5702" priority="22954" operator="containsText" text="PENDIENTE">
      <formula>NOT(ISERROR(SEARCH("PENDIENTE",P28)))</formula>
    </cfRule>
    <cfRule type="containsText" dxfId="5701" priority="22952" operator="containsText" text="ENTREGADO">
      <formula>NOT(ISERROR(SEARCH("ENTREGADO",P28)))</formula>
    </cfRule>
    <cfRule type="containsText" dxfId="5700" priority="22955" operator="containsText" text="ENTREGADO">
      <formula>NOT(ISERROR(SEARCH("ENTREGADO",P28)))</formula>
    </cfRule>
    <cfRule type="containsText" dxfId="5699" priority="22957" operator="containsText" text="PENDIENTE">
      <formula>NOT(ISERROR(SEARCH("PENDIENTE",P28)))</formula>
    </cfRule>
    <cfRule type="containsText" dxfId="5698" priority="22956" operator="containsText" text="PRIORIDAD">
      <formula>NOT(ISERROR(SEARCH("PRIORIDAD",P28)))</formula>
    </cfRule>
    <cfRule type="containsText" dxfId="5697" priority="22959" operator="containsText" text="ENTREGADO">
      <formula>NOT(ISERROR(SEARCH("ENTREGADO",P28)))</formula>
    </cfRule>
    <cfRule type="containsText" dxfId="5696" priority="22960" operator="containsText" text="ENTREGADO">
      <formula>NOT(ISERROR(SEARCH("ENTREGADO",P28)))</formula>
    </cfRule>
    <cfRule type="containsText" dxfId="5695" priority="22961" operator="containsText" text="PENDIENTE">
      <formula>NOT(ISERROR(SEARCH("PENDIENTE",P28)))</formula>
    </cfRule>
  </conditionalFormatting>
  <conditionalFormatting sqref="P29 T29:X29 BC29 BH29:XFD29 G29:H29 K29:N29">
    <cfRule type="containsText" dxfId="5694" priority="20600" operator="containsText" text="PRIORIDAD">
      <formula>NOT(ISERROR(SEARCH("PRIORIDAD",G29)))</formula>
    </cfRule>
  </conditionalFormatting>
  <conditionalFormatting sqref="P29">
    <cfRule type="containsText" dxfId="5693" priority="20622" operator="containsText" text="ENTREGADO">
      <formula>NOT(ISERROR(SEARCH("ENTREGADO",P29)))</formula>
    </cfRule>
    <cfRule type="containsText" dxfId="5692" priority="20638" operator="containsText" text="ENTREGADO">
      <formula>NOT(ISERROR(SEARCH("ENTREGADO",P29)))</formula>
    </cfRule>
    <cfRule type="containsText" dxfId="5691" priority="20636" operator="containsText" text="PENDIENTE">
      <formula>NOT(ISERROR(SEARCH("PENDIENTE",P29)))</formula>
    </cfRule>
    <cfRule type="containsText" dxfId="5690" priority="20623" operator="containsText" text="ENTREGADO">
      <formula>NOT(ISERROR(SEARCH("ENTREGADO",P29)))</formula>
    </cfRule>
    <cfRule type="containsText" dxfId="5689" priority="20621" operator="containsText" text="PENDIENTE">
      <formula>NOT(ISERROR(SEARCH("PENDIENTE",P29)))</formula>
    </cfRule>
    <cfRule type="containsText" dxfId="5688" priority="20589" operator="containsText" text="PENDIENTE">
      <formula>NOT(ISERROR(SEARCH("PENDIENTE",P29)))</formula>
    </cfRule>
    <cfRule type="containsText" dxfId="5687" priority="20587" operator="containsText" text="ENTREGADO">
      <formula>NOT(ISERROR(SEARCH("ENTREGADO",P29)))</formula>
    </cfRule>
    <cfRule type="containsText" dxfId="5686" priority="20575" operator="containsText" text="ENTREGADO">
      <formula>NOT(ISERROR(SEARCH("ENTREGADO",P29)))</formula>
    </cfRule>
    <cfRule type="containsText" dxfId="5685" priority="20579" operator="containsText" text="ENTREGADO">
      <formula>NOT(ISERROR(SEARCH("ENTREGADO",P29)))</formula>
    </cfRule>
    <cfRule type="containsText" dxfId="5684" priority="20576" operator="containsText" text="ENTREGADO">
      <formula>NOT(ISERROR(SEARCH("ENTREGADO",P29)))</formula>
    </cfRule>
    <cfRule type="containsText" dxfId="5683" priority="20577" operator="containsText" text="ENTREGADO">
      <formula>NOT(ISERROR(SEARCH("ENTREGADO",P29)))</formula>
    </cfRule>
    <cfRule type="containsText" dxfId="5682" priority="20573" operator="containsText" text="PRIORIDAD">
      <formula>NOT(ISERROR(SEARCH("PRIORIDAD",P29)))</formula>
    </cfRule>
    <cfRule type="containsText" dxfId="5681" priority="20574" operator="containsText" text="PENDIENTE">
      <formula>NOT(ISERROR(SEARCH("PENDIENTE",P29)))</formula>
    </cfRule>
    <cfRule type="containsText" dxfId="5680" priority="20578" operator="containsText" text="PENDIENTE">
      <formula>NOT(ISERROR(SEARCH("PENDIENTE",P29)))</formula>
    </cfRule>
  </conditionalFormatting>
  <conditionalFormatting sqref="P29:P30">
    <cfRule type="containsText" dxfId="5679" priority="19053" operator="containsText" text="ENTREGADO">
      <formula>NOT(ISERROR(SEARCH("ENTREGADO",P29)))</formula>
    </cfRule>
  </conditionalFormatting>
  <conditionalFormatting sqref="P30">
    <cfRule type="containsText" dxfId="5678" priority="19036" operator="containsText" text="PENDIENTE">
      <formula>NOT(ISERROR(SEARCH("PENDIENTE",P30)))</formula>
    </cfRule>
    <cfRule type="containsText" dxfId="5677" priority="18990" operator="containsText" text="ENTREGADO">
      <formula>NOT(ISERROR(SEARCH("ENTREGADO",P30)))</formula>
    </cfRule>
    <cfRule type="containsText" dxfId="5676" priority="19037" operator="containsText" text="ENTREGADO">
      <formula>NOT(ISERROR(SEARCH("ENTREGADO",P30)))</formula>
    </cfRule>
    <cfRule type="containsText" dxfId="5675" priority="19038" operator="containsText" text="ENTREGADO">
      <formula>NOT(ISERROR(SEARCH("ENTREGADO",P30)))</formula>
    </cfRule>
    <cfRule type="containsText" dxfId="5674" priority="19051" operator="containsText" text="PENDIENTE">
      <formula>NOT(ISERROR(SEARCH("PENDIENTE",P30)))</formula>
    </cfRule>
    <cfRule type="containsText" dxfId="5673" priority="18992" operator="containsText" text="ENTREGADO">
      <formula>NOT(ISERROR(SEARCH("ENTREGADO",P30)))</formula>
    </cfRule>
    <cfRule type="containsText" dxfId="5672" priority="18988" operator="containsText" text="PRIORIDAD">
      <formula>NOT(ISERROR(SEARCH("PRIORIDAD",P30)))</formula>
    </cfRule>
    <cfRule type="containsText" dxfId="5671" priority="18989" operator="containsText" text="PENDIENTE">
      <formula>NOT(ISERROR(SEARCH("PENDIENTE",P30)))</formula>
    </cfRule>
    <cfRule type="containsText" dxfId="5670" priority="18991" operator="containsText" text="ENTREGADO">
      <formula>NOT(ISERROR(SEARCH("ENTREGADO",P30)))</formula>
    </cfRule>
    <cfRule type="containsText" dxfId="5669" priority="19004" operator="containsText" text="PENDIENTE">
      <formula>NOT(ISERROR(SEARCH("PENDIENTE",P30)))</formula>
    </cfRule>
    <cfRule type="containsText" dxfId="5668" priority="19002" operator="containsText" text="ENTREGADO">
      <formula>NOT(ISERROR(SEARCH("ENTREGADO",P30)))</formula>
    </cfRule>
    <cfRule type="containsText" dxfId="5667" priority="18994" operator="containsText" text="ENTREGADO">
      <formula>NOT(ISERROR(SEARCH("ENTREGADO",P30)))</formula>
    </cfRule>
    <cfRule type="containsText" dxfId="5666" priority="18993" operator="containsText" text="PENDIENTE">
      <formula>NOT(ISERROR(SEARCH("PENDIENTE",P30)))</formula>
    </cfRule>
  </conditionalFormatting>
  <conditionalFormatting sqref="P30:P32">
    <cfRule type="containsText" dxfId="5665" priority="17405" operator="containsText" text="ENTREGADO">
      <formula>NOT(ISERROR(SEARCH("ENTREGADO",P30)))</formula>
    </cfRule>
  </conditionalFormatting>
  <conditionalFormatting sqref="P31">
    <cfRule type="containsText" dxfId="5664" priority="17404" operator="containsText" text="ENTREGADO">
      <formula>NOT(ISERROR(SEARCH("ENTREGADO",P31)))</formula>
    </cfRule>
  </conditionalFormatting>
  <conditionalFormatting sqref="P32">
    <cfRule type="containsText" dxfId="5663" priority="19871" operator="containsText" text="ENTREGADO">
      <formula>NOT(ISERROR(SEARCH("ENTREGADO",P32)))</formula>
    </cfRule>
    <cfRule type="containsText" dxfId="5662" priority="19869" operator="containsText" text="PRIORIDAD">
      <formula>NOT(ISERROR(SEARCH("PRIORIDAD",P32)))</formula>
    </cfRule>
    <cfRule type="containsText" dxfId="5661" priority="19875" operator="containsText" text="ENTREGADO">
      <formula>NOT(ISERROR(SEARCH("ENTREGADO",P32)))</formula>
    </cfRule>
    <cfRule type="containsText" dxfId="5660" priority="19917" operator="containsText" text="PENDIENTE">
      <formula>NOT(ISERROR(SEARCH("PENDIENTE",P32)))</formula>
    </cfRule>
    <cfRule type="containsText" dxfId="5659" priority="19883" operator="containsText" text="ENTREGADO">
      <formula>NOT(ISERROR(SEARCH("ENTREGADO",P32)))</formula>
    </cfRule>
    <cfRule type="containsText" dxfId="5658" priority="19918" operator="containsText" text="ENTREGADO">
      <formula>NOT(ISERROR(SEARCH("ENTREGADO",P32)))</formula>
    </cfRule>
    <cfRule type="containsText" dxfId="5657" priority="19919" operator="containsText" text="ENTREGADO">
      <formula>NOT(ISERROR(SEARCH("ENTREGADO",P32)))</formula>
    </cfRule>
    <cfRule type="containsText" dxfId="5656" priority="19932" operator="containsText" text="PENDIENTE">
      <formula>NOT(ISERROR(SEARCH("PENDIENTE",P32)))</formula>
    </cfRule>
    <cfRule type="containsText" dxfId="5655" priority="19873" operator="containsText" text="ENTREGADO">
      <formula>NOT(ISERROR(SEARCH("ENTREGADO",P32)))</formula>
    </cfRule>
    <cfRule type="containsText" dxfId="5654" priority="19872" operator="containsText" text="ENTREGADO">
      <formula>NOT(ISERROR(SEARCH("ENTREGADO",P32)))</formula>
    </cfRule>
    <cfRule type="containsText" dxfId="5653" priority="19870" operator="containsText" text="PENDIENTE">
      <formula>NOT(ISERROR(SEARCH("PENDIENTE",P32)))</formula>
    </cfRule>
    <cfRule type="containsText" dxfId="5652" priority="19874" operator="containsText" text="PENDIENTE">
      <formula>NOT(ISERROR(SEARCH("PENDIENTE",P32)))</formula>
    </cfRule>
    <cfRule type="containsText" dxfId="5651" priority="19885" operator="containsText" text="PENDIENTE">
      <formula>NOT(ISERROR(SEARCH("PENDIENTE",P32)))</formula>
    </cfRule>
  </conditionalFormatting>
  <conditionalFormatting sqref="P34 T34:X34 BC34 BH34:XFD34 G34:H36 J34:N38">
    <cfRule type="containsText" dxfId="5650" priority="20248" operator="containsText" text="PRIORIDAD">
      <formula>NOT(ISERROR(SEARCH("PRIORIDAD",G34)))</formula>
    </cfRule>
  </conditionalFormatting>
  <conditionalFormatting sqref="P34">
    <cfRule type="containsText" dxfId="5649" priority="20269" operator="containsText" text="PENDIENTE">
      <formula>NOT(ISERROR(SEARCH("PENDIENTE",P34)))</formula>
    </cfRule>
    <cfRule type="containsText" dxfId="5648" priority="20224" operator="containsText" text="ENTREGADO">
      <formula>NOT(ISERROR(SEARCH("ENTREGADO",P34)))</formula>
    </cfRule>
    <cfRule type="containsText" dxfId="5647" priority="20227" operator="containsText" text="ENTREGADO">
      <formula>NOT(ISERROR(SEARCH("ENTREGADO",P34)))</formula>
    </cfRule>
    <cfRule type="containsText" dxfId="5646" priority="20286" operator="containsText" text="ENTREGADO">
      <formula>NOT(ISERROR(SEARCH("ENTREGADO",P34)))</formula>
    </cfRule>
    <cfRule type="containsText" dxfId="5645" priority="20270" operator="containsText" text="ENTREGADO">
      <formula>NOT(ISERROR(SEARCH("ENTREGADO",P34)))</formula>
    </cfRule>
    <cfRule type="containsText" dxfId="5644" priority="20235" operator="containsText" text="ENTREGADO">
      <formula>NOT(ISERROR(SEARCH("ENTREGADO",P34)))</formula>
    </cfRule>
    <cfRule type="containsText" dxfId="5643" priority="20237" operator="containsText" text="PENDIENTE">
      <formula>NOT(ISERROR(SEARCH("PENDIENTE",P34)))</formula>
    </cfRule>
    <cfRule type="containsText" dxfId="5642" priority="20271" operator="containsText" text="ENTREGADO">
      <formula>NOT(ISERROR(SEARCH("ENTREGADO",P34)))</formula>
    </cfRule>
    <cfRule type="containsText" dxfId="5641" priority="20226" operator="containsText" text="PENDIENTE">
      <formula>NOT(ISERROR(SEARCH("PENDIENTE",P34)))</formula>
    </cfRule>
    <cfRule type="containsText" dxfId="5640" priority="20225" operator="containsText" text="ENTREGADO">
      <formula>NOT(ISERROR(SEARCH("ENTREGADO",P34)))</formula>
    </cfRule>
    <cfRule type="containsText" dxfId="5639" priority="20223" operator="containsText" text="ENTREGADO">
      <formula>NOT(ISERROR(SEARCH("ENTREGADO",P34)))</formula>
    </cfRule>
    <cfRule type="containsText" dxfId="5638" priority="20222" operator="containsText" text="PENDIENTE">
      <formula>NOT(ISERROR(SEARCH("PENDIENTE",P34)))</formula>
    </cfRule>
    <cfRule type="containsText" dxfId="5637" priority="20221" operator="containsText" text="PRIORIDAD">
      <formula>NOT(ISERROR(SEARCH("PRIORIDAD",P34)))</formula>
    </cfRule>
  </conditionalFormatting>
  <conditionalFormatting sqref="P35">
    <cfRule type="containsText" dxfId="5636" priority="17259" operator="containsText" text="ENTREGADO">
      <formula>NOT(ISERROR(SEARCH("ENTREGADO",P35)))</formula>
    </cfRule>
    <cfRule type="containsText" dxfId="5635" priority="17257" operator="containsText" text="ENTREGADO">
      <formula>NOT(ISERROR(SEARCH("ENTREGADO",P35)))</formula>
    </cfRule>
    <cfRule type="containsText" dxfId="5634" priority="17256" operator="containsText" text="PENDIENTE">
      <formula>NOT(ISERROR(SEARCH("PENDIENTE",P35)))</formula>
    </cfRule>
  </conditionalFormatting>
  <conditionalFormatting sqref="P35:P36">
    <cfRule type="containsText" dxfId="5633" priority="17139" operator="containsText" text="ENTREGADO">
      <formula>NOT(ISERROR(SEARCH("ENTREGADO",P35)))</formula>
    </cfRule>
  </conditionalFormatting>
  <conditionalFormatting sqref="P36">
    <cfRule type="containsText" dxfId="5632" priority="17136" operator="containsText" text="PENDIENTE">
      <formula>NOT(ISERROR(SEARCH("PENDIENTE",P36)))</formula>
    </cfRule>
    <cfRule type="containsText" dxfId="5631" priority="17137" operator="containsText" text="ENTREGADO">
      <formula>NOT(ISERROR(SEARCH("ENTREGADO",P36)))</formula>
    </cfRule>
  </conditionalFormatting>
  <conditionalFormatting sqref="P36:P37">
    <cfRule type="containsText" dxfId="5630" priority="15720" operator="containsText" text="ENTREGADO">
      <formula>NOT(ISERROR(SEARCH("ENTREGADO",P36)))</formula>
    </cfRule>
  </conditionalFormatting>
  <conditionalFormatting sqref="P37">
    <cfRule type="containsText" dxfId="5629" priority="15718" operator="containsText" text="ENTREGADO">
      <formula>NOT(ISERROR(SEARCH("ENTREGADO",P37)))</formula>
    </cfRule>
    <cfRule type="containsText" dxfId="5628" priority="15717" operator="containsText" text="PENDIENTE">
      <formula>NOT(ISERROR(SEARCH("PENDIENTE",P37)))</formula>
    </cfRule>
  </conditionalFormatting>
  <conditionalFormatting sqref="P37:P38">
    <cfRule type="containsText" dxfId="5627" priority="15576" operator="containsText" text="ENTREGADO">
      <formula>NOT(ISERROR(SEARCH("ENTREGADO",P37)))</formula>
    </cfRule>
  </conditionalFormatting>
  <conditionalFormatting sqref="P38">
    <cfRule type="containsText" dxfId="5626" priority="15575" operator="containsText" text="ENTREGADO">
      <formula>NOT(ISERROR(SEARCH("ENTREGADO",P38)))</formula>
    </cfRule>
    <cfRule type="containsText" dxfId="5625" priority="15574" operator="containsText" text="ENTREGADO">
      <formula>NOT(ISERROR(SEARCH("ENTREGADO",P38)))</formula>
    </cfRule>
    <cfRule type="containsText" dxfId="5624" priority="15573" operator="containsText" text="PENDIENTE">
      <formula>NOT(ISERROR(SEARCH("PENDIENTE",P38)))</formula>
    </cfRule>
    <cfRule type="containsText" dxfId="5623" priority="5858" operator="containsText" text="PENDIENTE">
      <formula>NOT(ISERROR(SEARCH("PENDIENTE",P38)))</formula>
    </cfRule>
    <cfRule type="containsText" dxfId="5622" priority="5859" operator="containsText" text="ENTREGADO">
      <formula>NOT(ISERROR(SEARCH("ENTREGADO",P38)))</formula>
    </cfRule>
    <cfRule type="containsText" dxfId="5621" priority="15570" operator="containsText" text="ENTREGADO">
      <formula>NOT(ISERROR(SEARCH("ENTREGADO",P38)))</formula>
    </cfRule>
    <cfRule type="containsText" dxfId="5620" priority="5860" operator="containsText" text="ENTREGADO">
      <formula>NOT(ISERROR(SEARCH("ENTREGADO",P38)))</formula>
    </cfRule>
    <cfRule type="containsText" dxfId="5619" priority="5861" operator="containsText" text="ENTREGADO">
      <formula>NOT(ISERROR(SEARCH("ENTREGADO",P38)))</formula>
    </cfRule>
  </conditionalFormatting>
  <conditionalFormatting sqref="P39">
    <cfRule type="containsText" dxfId="5618" priority="4216" operator="containsText" text="PRIORIDAD">
      <formula>NOT(ISERROR(SEARCH("PRIORIDAD",P39)))</formula>
    </cfRule>
    <cfRule type="containsText" dxfId="5617" priority="4221" operator="containsText" text="PENDIENTE">
      <formula>NOT(ISERROR(SEARCH("PENDIENTE",P39)))</formula>
    </cfRule>
    <cfRule type="containsText" dxfId="5616" priority="4257" operator="containsText" text="ENTREGADO">
      <formula>NOT(ISERROR(SEARCH("ENTREGADO",P39)))</formula>
    </cfRule>
    <cfRule type="containsText" dxfId="5615" priority="4222" operator="containsText" text="ENTREGADO">
      <formula>NOT(ISERROR(SEARCH("ENTREGADO",P39)))</formula>
    </cfRule>
    <cfRule type="containsText" dxfId="5614" priority="4270" operator="containsText" text="ENTREGADO">
      <formula>NOT(ISERROR(SEARCH("ENTREGADO",P39)))</formula>
    </cfRule>
    <cfRule type="containsText" dxfId="5613" priority="4256" operator="containsText" text="ENTREGADO">
      <formula>NOT(ISERROR(SEARCH("ENTREGADO",P39)))</formula>
    </cfRule>
    <cfRule type="containsText" dxfId="5612" priority="4217" operator="containsText" text="PENDIENTE">
      <formula>NOT(ISERROR(SEARCH("PENDIENTE",P39)))</formula>
    </cfRule>
    <cfRule type="containsText" dxfId="5611" priority="4255" operator="containsText" text="PENDIENTE">
      <formula>NOT(ISERROR(SEARCH("PENDIENTE",P39)))</formula>
    </cfRule>
    <cfRule type="containsText" dxfId="5610" priority="4218" operator="containsText" text="ENTREGADO">
      <formula>NOT(ISERROR(SEARCH("ENTREGADO",P39)))</formula>
    </cfRule>
    <cfRule type="containsText" dxfId="5609" priority="4219" operator="containsText" text="ENTREGADO">
      <formula>NOT(ISERROR(SEARCH("ENTREGADO",P39)))</formula>
    </cfRule>
    <cfRule type="containsText" dxfId="5608" priority="4268" operator="containsText" text="PENDIENTE">
      <formula>NOT(ISERROR(SEARCH("PENDIENTE",P39)))</formula>
    </cfRule>
    <cfRule type="containsText" dxfId="5607" priority="4220" operator="containsText" text="ENTREGADO">
      <formula>NOT(ISERROR(SEARCH("ENTREGADO",P39)))</formula>
    </cfRule>
  </conditionalFormatting>
  <conditionalFormatting sqref="P40 BH40:XFD40">
    <cfRule type="containsText" dxfId="5606" priority="7246" operator="containsText" text="PENDIENTE">
      <formula>NOT(ISERROR(SEARCH("PENDIENTE",P40)))</formula>
    </cfRule>
  </conditionalFormatting>
  <conditionalFormatting sqref="P40">
    <cfRule type="containsText" dxfId="5605" priority="7234" operator="containsText" text="ENTREGADO">
      <formula>NOT(ISERROR(SEARCH("ENTREGADO",P40)))</formula>
    </cfRule>
    <cfRule type="containsText" dxfId="5604" priority="7235" operator="containsText" text="ENTREGADO">
      <formula>NOT(ISERROR(SEARCH("ENTREGADO",P40)))</formula>
    </cfRule>
    <cfRule type="containsText" dxfId="5603" priority="7236" operator="containsText" text="ENTREGADO">
      <formula>NOT(ISERROR(SEARCH("ENTREGADO",P40)))</formula>
    </cfRule>
    <cfRule type="containsText" dxfId="5602" priority="7237" operator="containsText" text="PENDIENTE">
      <formula>NOT(ISERROR(SEARCH("PENDIENTE",P40)))</formula>
    </cfRule>
    <cfRule type="containsText" dxfId="5601" priority="7238" operator="containsText" text="ENTREGADO">
      <formula>NOT(ISERROR(SEARCH("ENTREGADO",P40)))</formula>
    </cfRule>
    <cfRule type="containsText" dxfId="5600" priority="7273" operator="containsText" text="PENDIENTE">
      <formula>NOT(ISERROR(SEARCH("PENDIENTE",P40)))</formula>
    </cfRule>
    <cfRule type="containsText" dxfId="5599" priority="7274" operator="containsText" text="ENTREGADO">
      <formula>NOT(ISERROR(SEARCH("ENTREGADO",P40)))</formula>
    </cfRule>
    <cfRule type="containsText" dxfId="5598" priority="7275" operator="containsText" text="ENTREGADO">
      <formula>NOT(ISERROR(SEARCH("ENTREGADO",P40)))</formula>
    </cfRule>
    <cfRule type="containsText" dxfId="5597" priority="7244" operator="containsText" text="ENTREGADO">
      <formula>NOT(ISERROR(SEARCH("ENTREGADO",P40)))</formula>
    </cfRule>
    <cfRule type="containsText" dxfId="5596" priority="7288" operator="containsText" text="ENTREGADO">
      <formula>NOT(ISERROR(SEARCH("ENTREGADO",P40)))</formula>
    </cfRule>
    <cfRule type="containsText" dxfId="5595" priority="7232" operator="containsText" text="PRIORIDAD">
      <formula>NOT(ISERROR(SEARCH("PRIORIDAD",P40)))</formula>
    </cfRule>
    <cfRule type="containsText" dxfId="5594" priority="7233" operator="containsText" text="PENDIENTE">
      <formula>NOT(ISERROR(SEARCH("PENDIENTE",P40)))</formula>
    </cfRule>
  </conditionalFormatting>
  <conditionalFormatting sqref="P41 T41:X41 BC41 BH41:XFD50 G41:H41 J41:N41">
    <cfRule type="containsText" dxfId="5593" priority="3874" operator="containsText" text="PRIORIDAD">
      <formula>NOT(ISERROR(SEARCH("PRIORIDAD",G41)))</formula>
    </cfRule>
  </conditionalFormatting>
  <conditionalFormatting sqref="P41">
    <cfRule type="containsText" dxfId="5592" priority="3859" operator="containsText" text="ENTREGADO">
      <formula>NOT(ISERROR(SEARCH("ENTREGADO",P41)))</formula>
    </cfRule>
    <cfRule type="containsText" dxfId="5591" priority="3858" operator="containsText" text="PENDIENTE">
      <formula>NOT(ISERROR(SEARCH("PENDIENTE",P41)))</formula>
    </cfRule>
    <cfRule type="containsText" dxfId="5590" priority="3902" operator="containsText" text="ENTREGADO">
      <formula>NOT(ISERROR(SEARCH("ENTREGADO",P41)))</formula>
    </cfRule>
    <cfRule type="containsText" dxfId="5589" priority="3857" operator="containsText" text="PRIORIDAD">
      <formula>NOT(ISERROR(SEARCH("PRIORIDAD",P41)))</formula>
    </cfRule>
    <cfRule type="containsText" dxfId="5588" priority="3887" operator="containsText" text="PENDIENTE">
      <formula>NOT(ISERROR(SEARCH("PENDIENTE",P41)))</formula>
    </cfRule>
    <cfRule type="containsText" dxfId="5587" priority="3860" operator="containsText" text="ENTREGADO">
      <formula>NOT(ISERROR(SEARCH("ENTREGADO",P41)))</formula>
    </cfRule>
    <cfRule type="containsText" dxfId="5586" priority="3861" operator="containsText" text="ENTREGADO">
      <formula>NOT(ISERROR(SEARCH("ENTREGADO",P41)))</formula>
    </cfRule>
    <cfRule type="containsText" dxfId="5585" priority="3888" operator="containsText" text="ENTREGADO">
      <formula>NOT(ISERROR(SEARCH("ENTREGADO",P41)))</formula>
    </cfRule>
    <cfRule type="containsText" dxfId="5584" priority="3862" operator="containsText" text="PENDIENTE">
      <formula>NOT(ISERROR(SEARCH("PENDIENTE",P41)))</formula>
    </cfRule>
    <cfRule type="containsText" dxfId="5583" priority="3889" operator="containsText" text="ENTREGADO">
      <formula>NOT(ISERROR(SEARCH("ENTREGADO",P41)))</formula>
    </cfRule>
    <cfRule type="containsText" dxfId="5582" priority="3863" operator="containsText" text="ENTREGADO">
      <formula>NOT(ISERROR(SEARCH("ENTREGADO",P41)))</formula>
    </cfRule>
    <cfRule type="containsText" dxfId="5581" priority="3867" operator="containsText" text="ENTREGADO">
      <formula>NOT(ISERROR(SEARCH("ENTREGADO",P41)))</formula>
    </cfRule>
    <cfRule type="containsText" dxfId="5580" priority="3869" operator="containsText" text="PENDIENTE">
      <formula>NOT(ISERROR(SEARCH("PENDIENTE",P41)))</formula>
    </cfRule>
  </conditionalFormatting>
  <conditionalFormatting sqref="P42:P44">
    <cfRule type="containsText" dxfId="5579" priority="12798" operator="containsText" text="ENTREGADO">
      <formula>NOT(ISERROR(SEARCH("ENTREGADO",P42)))</formula>
    </cfRule>
    <cfRule type="containsText" dxfId="5578" priority="12796" operator="containsText" text="ENTREGADO">
      <formula>NOT(ISERROR(SEARCH("ENTREGADO",P42)))</formula>
    </cfRule>
    <cfRule type="containsText" dxfId="5577" priority="12797" operator="containsText" text="ENTREGADO">
      <formula>NOT(ISERROR(SEARCH("ENTREGADO",P42)))</formula>
    </cfRule>
  </conditionalFormatting>
  <conditionalFormatting sqref="P45">
    <cfRule type="containsText" dxfId="5576" priority="11652" operator="containsText" text="ENTREGADO">
      <formula>NOT(ISERROR(SEARCH("ENTREGADO",P45)))</formula>
    </cfRule>
    <cfRule type="containsText" dxfId="5575" priority="11651" operator="containsText" text="ENTREGADO">
      <formula>NOT(ISERROR(SEARCH("ENTREGADO",P45)))</formula>
    </cfRule>
  </conditionalFormatting>
  <conditionalFormatting sqref="P46:P49">
    <cfRule type="containsText" dxfId="5574" priority="4397" operator="containsText" text="ENTREGADO">
      <formula>NOT(ISERROR(SEARCH("ENTREGADO",P46)))</formula>
    </cfRule>
    <cfRule type="containsText" dxfId="5573" priority="4396" operator="containsText" text="ENTREGADO">
      <formula>NOT(ISERROR(SEARCH("ENTREGADO",P46)))</formula>
    </cfRule>
  </conditionalFormatting>
  <conditionalFormatting sqref="P50">
    <cfRule type="containsText" dxfId="5572" priority="9143" operator="containsText" text="ENTREGADO">
      <formula>NOT(ISERROR(SEARCH("ENTREGADO",P50)))</formula>
    </cfRule>
    <cfRule type="containsText" dxfId="5571" priority="9170" operator="containsText" text="ENTREGADO">
      <formula>NOT(ISERROR(SEARCH("ENTREGADO",P50)))</formula>
    </cfRule>
    <cfRule type="containsText" dxfId="5570" priority="9171" operator="containsText" text="ENTREGADO">
      <formula>NOT(ISERROR(SEARCH("ENTREGADO",P50)))</formula>
    </cfRule>
  </conditionalFormatting>
  <conditionalFormatting sqref="P51 R25:R26">
    <cfRule type="containsText" dxfId="5569" priority="11369" operator="containsText" text="ENTREGADO">
      <formula>NOT(ISERROR(SEARCH("ENTREGADO",P25)))</formula>
    </cfRule>
  </conditionalFormatting>
  <conditionalFormatting sqref="P51">
    <cfRule type="containsText" dxfId="5568" priority="11371" operator="containsText" text="ENTREGADO">
      <formula>NOT(ISERROR(SEARCH("ENTREGADO",P51)))</formula>
    </cfRule>
  </conditionalFormatting>
  <conditionalFormatting sqref="P52:P53">
    <cfRule type="containsText" dxfId="5567" priority="9270" operator="containsText" text="ENTREGADO">
      <formula>NOT(ISERROR(SEARCH("ENTREGADO",P52)))</formula>
    </cfRule>
    <cfRule type="containsText" dxfId="5566" priority="9269" operator="containsText" text="ENTREGADO">
      <formula>NOT(ISERROR(SEARCH("ENTREGADO",P52)))</formula>
    </cfRule>
    <cfRule type="containsText" dxfId="5565" priority="9267" operator="containsText" text="ENTREGADO">
      <formula>NOT(ISERROR(SEARCH("ENTREGADO",P52)))</formula>
    </cfRule>
  </conditionalFormatting>
  <conditionalFormatting sqref="P53">
    <cfRule type="containsText" dxfId="5564" priority="209" operator="containsText" text="ENTREGADO">
      <formula>NOT(ISERROR(SEARCH("ENTREGADO",P53)))</formula>
    </cfRule>
    <cfRule type="containsText" dxfId="5563" priority="206" operator="containsText" text="ENTREGADO">
      <formula>NOT(ISERROR(SEARCH("ENTREGADO",P53)))</formula>
    </cfRule>
    <cfRule type="containsText" dxfId="5562" priority="208" operator="containsText" text="ENTREGADO">
      <formula>NOT(ISERROR(SEARCH("ENTREGADO",P53)))</formula>
    </cfRule>
  </conditionalFormatting>
  <conditionalFormatting sqref="P54">
    <cfRule type="containsText" dxfId="5561" priority="7061" operator="containsText" text="ENTREGADO">
      <formula>NOT(ISERROR(SEARCH("ENTREGADO",P54)))</formula>
    </cfRule>
    <cfRule type="containsText" dxfId="5560" priority="7060" operator="containsText" text="ENTREGADO">
      <formula>NOT(ISERROR(SEARCH("ENTREGADO",P54)))</formula>
    </cfRule>
    <cfRule type="containsText" dxfId="5559" priority="7058" operator="containsText" text="ENTREGADO">
      <formula>NOT(ISERROR(SEARCH("ENTREGADO",P54)))</formula>
    </cfRule>
  </conditionalFormatting>
  <conditionalFormatting sqref="P55">
    <cfRule type="containsText" dxfId="5558" priority="596" operator="containsText" text="ENTREGADO">
      <formula>NOT(ISERROR(SEARCH("ENTREGADO",P55)))</formula>
    </cfRule>
    <cfRule type="containsText" dxfId="5557" priority="598" operator="containsText" text="ENTREGADO">
      <formula>NOT(ISERROR(SEARCH("ENTREGADO",P55)))</formula>
    </cfRule>
    <cfRule type="containsText" dxfId="5556" priority="599" operator="containsText" text="ENTREGADO">
      <formula>NOT(ISERROR(SEARCH("ENTREGADO",P55)))</formula>
    </cfRule>
  </conditionalFormatting>
  <conditionalFormatting sqref="P56">
    <cfRule type="containsText" dxfId="5555" priority="6952" operator="containsText" text="ENTREGADO">
      <formula>NOT(ISERROR(SEARCH("ENTREGADO",P56)))</formula>
    </cfRule>
    <cfRule type="containsText" dxfId="5554" priority="6953" operator="containsText" text="ENTREGADO">
      <formula>NOT(ISERROR(SEARCH("ENTREGADO",P56)))</formula>
    </cfRule>
    <cfRule type="containsText" dxfId="5553" priority="6950" operator="containsText" text="ENTREGADO">
      <formula>NOT(ISERROR(SEARCH("ENTREGADO",P56)))</formula>
    </cfRule>
  </conditionalFormatting>
  <conditionalFormatting sqref="P57">
    <cfRule type="containsText" dxfId="5552" priority="9264" operator="containsText" text="ENTREGADO">
      <formula>NOT(ISERROR(SEARCH("ENTREGADO",P57)))</formula>
    </cfRule>
    <cfRule type="containsText" dxfId="5551" priority="9263" operator="containsText" text="ENTREGADO">
      <formula>NOT(ISERROR(SEARCH("ENTREGADO",P57)))</formula>
    </cfRule>
  </conditionalFormatting>
  <conditionalFormatting sqref="P57:P58">
    <cfRule type="containsText" dxfId="5550" priority="9042" operator="containsText" text="ENTREGADO">
      <formula>NOT(ISERROR(SEARCH("ENTREGADO",P57)))</formula>
    </cfRule>
  </conditionalFormatting>
  <conditionalFormatting sqref="P57:P59">
    <cfRule type="containsText" dxfId="5549" priority="3518" operator="containsText" text="PRIORIDAD">
      <formula>NOT(ISERROR(SEARCH("PRIORIDAD",P57)))</formula>
    </cfRule>
  </conditionalFormatting>
  <conditionalFormatting sqref="P58">
    <cfRule type="containsText" dxfId="5548" priority="9038" operator="containsText" text="ENTREGADO">
      <formula>NOT(ISERROR(SEARCH("ENTREGADO",P58)))</formula>
    </cfRule>
    <cfRule type="containsText" dxfId="5547" priority="9040" operator="containsText" text="ENTREGADO">
      <formula>NOT(ISERROR(SEARCH("ENTREGADO",P58)))</formula>
    </cfRule>
    <cfRule type="containsText" dxfId="5546" priority="9041" operator="containsText" text="ENTREGADO">
      <formula>NOT(ISERROR(SEARCH("ENTREGADO",P58)))</formula>
    </cfRule>
  </conditionalFormatting>
  <conditionalFormatting sqref="P59">
    <cfRule type="containsText" dxfId="5545" priority="3519" operator="containsText" text="ENTREGADO">
      <formula>NOT(ISERROR(SEARCH("ENTREGADO",P59)))</formula>
    </cfRule>
    <cfRule type="containsText" dxfId="5544" priority="3521" operator="containsText" text="ENTREGADO">
      <formula>NOT(ISERROR(SEARCH("ENTREGADO",P59)))</formula>
    </cfRule>
    <cfRule type="containsText" dxfId="5543" priority="3523" operator="containsText" text="ENTREGADO">
      <formula>NOT(ISERROR(SEARCH("ENTREGADO",P59)))</formula>
    </cfRule>
    <cfRule type="containsText" dxfId="5542" priority="3522" operator="containsText" text="ENTREGADO">
      <formula>NOT(ISERROR(SEARCH("ENTREGADO",P59)))</formula>
    </cfRule>
  </conditionalFormatting>
  <conditionalFormatting sqref="P60">
    <cfRule type="containsText" dxfId="5541" priority="4690" operator="containsText" text="ENTREGADO">
      <formula>NOT(ISERROR(SEARCH("ENTREGADO",P60)))</formula>
    </cfRule>
    <cfRule type="containsText" dxfId="5540" priority="4689" operator="containsText" text="ENTREGADO">
      <formula>NOT(ISERROR(SEARCH("ENTREGADO",P60)))</formula>
    </cfRule>
    <cfRule type="containsText" dxfId="5539" priority="4688" operator="containsText" text="ENTREGADO">
      <formula>NOT(ISERROR(SEARCH("ENTREGADO",P60)))</formula>
    </cfRule>
    <cfRule type="containsText" dxfId="5538" priority="4686" operator="containsText" text="ENTREGADO">
      <formula>NOT(ISERROR(SEARCH("ENTREGADO",P60)))</formula>
    </cfRule>
  </conditionalFormatting>
  <conditionalFormatting sqref="P61">
    <cfRule type="containsText" dxfId="5537" priority="4550" operator="containsText" text="ENTREGADO">
      <formula>NOT(ISERROR(SEARCH("ENTREGADO",P61)))</formula>
    </cfRule>
    <cfRule type="containsText" dxfId="5536" priority="4549" operator="containsText" text="ENTREGADO">
      <formula>NOT(ISERROR(SEARCH("ENTREGADO",P61)))</formula>
    </cfRule>
    <cfRule type="containsText" dxfId="5535" priority="4547" operator="containsText" text="ENTREGADO">
      <formula>NOT(ISERROR(SEARCH("ENTREGADO",P61)))</formula>
    </cfRule>
    <cfRule type="containsText" dxfId="5534" priority="4551" operator="containsText" text="ENTREGADO">
      <formula>NOT(ISERROR(SEARCH("ENTREGADO",P61)))</formula>
    </cfRule>
  </conditionalFormatting>
  <conditionalFormatting sqref="P71 BB71 BB62:BB69">
    <cfRule type="containsText" dxfId="5533" priority="9763" operator="containsText" text="ENTREGADO">
      <formula>NOT(ISERROR(SEARCH("ENTREGADO",P62)))</formula>
    </cfRule>
  </conditionalFormatting>
  <conditionalFormatting sqref="P71">
    <cfRule type="containsText" dxfId="5532" priority="9762" operator="containsText" text="ENTREGADO">
      <formula>NOT(ISERROR(SEARCH("ENTREGADO",P71)))</formula>
    </cfRule>
    <cfRule type="containsText" dxfId="5531" priority="9760" operator="containsText" text="PENDIENTE">
      <formula>NOT(ISERROR(SEARCH("PENDIENTE",P71)))</formula>
    </cfRule>
    <cfRule type="containsText" dxfId="5530" priority="9761" operator="containsText" text="ENTREGADO">
      <formula>NOT(ISERROR(SEARCH("ENTREGADO",P71)))</formula>
    </cfRule>
  </conditionalFormatting>
  <conditionalFormatting sqref="P72">
    <cfRule type="containsText" dxfId="5529" priority="6681" operator="containsText" text="ENTREGADO">
      <formula>NOT(ISERROR(SEARCH("ENTREGADO",P72)))</formula>
    </cfRule>
    <cfRule type="containsText" dxfId="5528" priority="6682" operator="containsText" text="ENTREGADO">
      <formula>NOT(ISERROR(SEARCH("ENTREGADO",P72)))</formula>
    </cfRule>
    <cfRule type="containsText" dxfId="5527" priority="6679" operator="containsText" text="PENDIENTE">
      <formula>NOT(ISERROR(SEARCH("PENDIENTE",P72)))</formula>
    </cfRule>
    <cfRule type="containsText" dxfId="5526" priority="6680" operator="containsText" text="ENTREGADO">
      <formula>NOT(ISERROR(SEARCH("ENTREGADO",P72)))</formula>
    </cfRule>
  </conditionalFormatting>
  <conditionalFormatting sqref="P73">
    <cfRule type="containsText" dxfId="5525" priority="6555" operator="containsText" text="ENTREGADO">
      <formula>NOT(ISERROR(SEARCH("ENTREGADO",P73)))</formula>
    </cfRule>
    <cfRule type="containsText" dxfId="5524" priority="6552" operator="containsText" text="PENDIENTE">
      <formula>NOT(ISERROR(SEARCH("PENDIENTE",P73)))</formula>
    </cfRule>
    <cfRule type="containsText" dxfId="5523" priority="6553" operator="containsText" text="ENTREGADO">
      <formula>NOT(ISERROR(SEARCH("ENTREGADO",P73)))</formula>
    </cfRule>
    <cfRule type="containsText" dxfId="5522" priority="6554" operator="containsText" text="ENTREGADO">
      <formula>NOT(ISERROR(SEARCH("ENTREGADO",P73)))</formula>
    </cfRule>
  </conditionalFormatting>
  <conditionalFormatting sqref="P74">
    <cfRule type="containsText" dxfId="5521" priority="3577" operator="containsText" text="ENTREGADO">
      <formula>NOT(ISERROR(SEARCH("ENTREGADO",P74)))</formula>
    </cfRule>
    <cfRule type="containsText" dxfId="5520" priority="3576" operator="containsText" text="PENDIENTE">
      <formula>NOT(ISERROR(SEARCH("PENDIENTE",P74)))</formula>
    </cfRule>
    <cfRule type="containsText" dxfId="5519" priority="3578" operator="containsText" text="ENTREGADO">
      <formula>NOT(ISERROR(SEARCH("ENTREGADO",P74)))</formula>
    </cfRule>
    <cfRule type="containsText" dxfId="5518" priority="3579" operator="containsText" text="ENTREGADO">
      <formula>NOT(ISERROR(SEARCH("ENTREGADO",P74)))</formula>
    </cfRule>
  </conditionalFormatting>
  <conditionalFormatting sqref="P75">
    <cfRule type="containsText" dxfId="5517" priority="4825" operator="containsText" text="ENTREGADO">
      <formula>NOT(ISERROR(SEARCH("ENTREGADO",P75)))</formula>
    </cfRule>
    <cfRule type="containsText" dxfId="5516" priority="4827" operator="containsText" text="ENTREGADO">
      <formula>NOT(ISERROR(SEARCH("ENTREGADO",P75)))</formula>
    </cfRule>
    <cfRule type="containsText" dxfId="5515" priority="4829" operator="containsText" text="ENTREGADO">
      <formula>NOT(ISERROR(SEARCH("ENTREGADO",P75)))</formula>
    </cfRule>
    <cfRule type="containsText" dxfId="5514" priority="4828" operator="containsText" text="ENTREGADO">
      <formula>NOT(ISERROR(SEARCH("ENTREGADO",P75)))</formula>
    </cfRule>
  </conditionalFormatting>
  <conditionalFormatting sqref="P76 P80:P81 P83:P84">
    <cfRule type="containsText" dxfId="5513" priority="2937" operator="containsText" text="ENTREGADO">
      <formula>NOT(ISERROR(SEARCH("ENTREGADO",P76)))</formula>
    </cfRule>
    <cfRule type="containsText" dxfId="5512" priority="2938" operator="containsText" text="ENTREGADO">
      <formula>NOT(ISERROR(SEARCH("ENTREGADO",P76)))</formula>
    </cfRule>
    <cfRule type="containsText" dxfId="5511" priority="2939" operator="containsText" text="ENTREGADO">
      <formula>NOT(ISERROR(SEARCH("ENTREGADO",P76)))</formula>
    </cfRule>
    <cfRule type="containsText" dxfId="5510" priority="2935" operator="containsText" text="ENTREGADO">
      <formula>NOT(ISERROR(SEARCH("ENTREGADO",P76)))</formula>
    </cfRule>
  </conditionalFormatting>
  <conditionalFormatting sqref="P77">
    <cfRule type="containsText" dxfId="5509" priority="1943" operator="containsText" text="ENTREGADO">
      <formula>NOT(ISERROR(SEARCH("ENTREGADO",P77)))</formula>
    </cfRule>
    <cfRule type="containsText" dxfId="5508" priority="1946" operator="containsText" text="PRIORIDAD">
      <formula>NOT(ISERROR(SEARCH("PRIORIDAD",P77)))</formula>
    </cfRule>
    <cfRule type="containsText" dxfId="5507" priority="1941" operator="containsText" text="ENTREGADO">
      <formula>NOT(ISERROR(SEARCH("ENTREGADO",P77)))</formula>
    </cfRule>
    <cfRule type="containsText" dxfId="5506" priority="1944" operator="containsText" text="ENTREGADO">
      <formula>NOT(ISERROR(SEARCH("ENTREGADO",P77)))</formula>
    </cfRule>
    <cfRule type="containsText" dxfId="5505" priority="1945" operator="containsText" text="ENTREGADO">
      <formula>NOT(ISERROR(SEARCH("ENTREGADO",P77)))</formula>
    </cfRule>
    <cfRule type="containsText" dxfId="5504" priority="1942" operator="containsText" text="PENDIENTE">
      <formula>NOT(ISERROR(SEARCH("PENDIENTE",P77)))</formula>
    </cfRule>
  </conditionalFormatting>
  <conditionalFormatting sqref="P78">
    <cfRule type="containsText" dxfId="5503" priority="1637" operator="containsText" text="ENTREGADO">
      <formula>NOT(ISERROR(SEARCH("ENTREGADO",P78)))</formula>
    </cfRule>
    <cfRule type="containsText" dxfId="5502" priority="1635" operator="containsText" text="ENTREGADO">
      <formula>NOT(ISERROR(SEARCH("ENTREGADO",P78)))</formula>
    </cfRule>
    <cfRule type="containsText" dxfId="5501" priority="1638" operator="containsText" text="ENTREGADO">
      <formula>NOT(ISERROR(SEARCH("ENTREGADO",P78)))</formula>
    </cfRule>
    <cfRule type="containsText" dxfId="5500" priority="1639" operator="containsText" text="ENTREGADO">
      <formula>NOT(ISERROR(SEARCH("ENTREGADO",P78)))</formula>
    </cfRule>
  </conditionalFormatting>
  <conditionalFormatting sqref="P82">
    <cfRule type="containsText" dxfId="5499" priority="1373" operator="containsText" text="ENTREGADO">
      <formula>NOT(ISERROR(SEARCH("ENTREGADO",P82)))</formula>
    </cfRule>
    <cfRule type="containsText" dxfId="5498" priority="1371" operator="containsText" text="ENTREGADO">
      <formula>NOT(ISERROR(SEARCH("ENTREGADO",P82)))</formula>
    </cfRule>
    <cfRule type="containsText" dxfId="5497" priority="1374" operator="containsText" text="ENTREGADO">
      <formula>NOT(ISERROR(SEARCH("ENTREGADO",P82)))</formula>
    </cfRule>
    <cfRule type="containsText" dxfId="5496" priority="1375" operator="containsText" text="ENTREGADO">
      <formula>NOT(ISERROR(SEARCH("ENTREGADO",P82)))</formula>
    </cfRule>
  </conditionalFormatting>
  <conditionalFormatting sqref="P85">
    <cfRule type="containsText" dxfId="5495" priority="2681" operator="containsText" text="ENTREGADO">
      <formula>NOT(ISERROR(SEARCH("ENTREGADO",P85)))</formula>
    </cfRule>
    <cfRule type="containsText" dxfId="5494" priority="2677" operator="containsText" text="ENTREGADO">
      <formula>NOT(ISERROR(SEARCH("ENTREGADO",P85)))</formula>
    </cfRule>
    <cfRule type="containsText" dxfId="5493" priority="2680" operator="containsText" text="ENTREGADO">
      <formula>NOT(ISERROR(SEARCH("ENTREGADO",P85)))</formula>
    </cfRule>
    <cfRule type="containsText" dxfId="5492" priority="2679" operator="containsText" text="ENTREGADO">
      <formula>NOT(ISERROR(SEARCH("ENTREGADO",P85)))</formula>
    </cfRule>
  </conditionalFormatting>
  <conditionalFormatting sqref="P86">
    <cfRule type="containsText" dxfId="5491" priority="2526" operator="containsText" text="ENTREGADO">
      <formula>NOT(ISERROR(SEARCH("ENTREGADO",P86)))</formula>
    </cfRule>
    <cfRule type="containsText" dxfId="5490" priority="2525" operator="containsText" text="ENTREGADO">
      <formula>NOT(ISERROR(SEARCH("ENTREGADO",P86)))</formula>
    </cfRule>
    <cfRule type="containsText" dxfId="5489" priority="2522" operator="containsText" text="ENTREGADO">
      <formula>NOT(ISERROR(SEARCH("ENTREGADO",P86)))</formula>
    </cfRule>
    <cfRule type="containsText" dxfId="5488" priority="2524" operator="containsText" text="ENTREGADO">
      <formula>NOT(ISERROR(SEARCH("ENTREGADO",P86)))</formula>
    </cfRule>
  </conditionalFormatting>
  <conditionalFormatting sqref="P87">
    <cfRule type="containsText" dxfId="5487" priority="2395" operator="containsText" text="ENTREGADO">
      <formula>NOT(ISERROR(SEARCH("ENTREGADO",P87)))</formula>
    </cfRule>
    <cfRule type="containsText" dxfId="5486" priority="2396" operator="containsText" text="ENTREGADO">
      <formula>NOT(ISERROR(SEARCH("ENTREGADO",P87)))</formula>
    </cfRule>
    <cfRule type="containsText" dxfId="5485" priority="2393" operator="containsText" text="ENTREGADO">
      <formula>NOT(ISERROR(SEARCH("ENTREGADO",P87)))</formula>
    </cfRule>
    <cfRule type="containsText" dxfId="5484" priority="2397" operator="containsText" text="ENTREGADO">
      <formula>NOT(ISERROR(SEARCH("ENTREGADO",P87)))</formula>
    </cfRule>
  </conditionalFormatting>
  <conditionalFormatting sqref="P88">
    <cfRule type="containsText" dxfId="5483" priority="2268" operator="containsText" text="ENTREGADO">
      <formula>NOT(ISERROR(SEARCH("ENTREGADO",P88)))</formula>
    </cfRule>
    <cfRule type="containsText" dxfId="5482" priority="2267" operator="containsText" text="ENTREGADO">
      <formula>NOT(ISERROR(SEARCH("ENTREGADO",P88)))</formula>
    </cfRule>
    <cfRule type="containsText" dxfId="5481" priority="2264" operator="containsText" text="ENTREGADO">
      <formula>NOT(ISERROR(SEARCH("ENTREGADO",P88)))</formula>
    </cfRule>
    <cfRule type="containsText" dxfId="5480" priority="2266" operator="containsText" text="ENTREGADO">
      <formula>NOT(ISERROR(SEARCH("ENTREGADO",P88)))</formula>
    </cfRule>
  </conditionalFormatting>
  <conditionalFormatting sqref="P89">
    <cfRule type="containsText" dxfId="5479" priority="1883" operator="containsText" text="ENTREGADO">
      <formula>NOT(ISERROR(SEARCH("ENTREGADO",P89)))</formula>
    </cfRule>
    <cfRule type="containsText" dxfId="5478" priority="1886" operator="containsText" text="ENTREGADO">
      <formula>NOT(ISERROR(SEARCH("ENTREGADO",P89)))</formula>
    </cfRule>
    <cfRule type="containsText" dxfId="5477" priority="1885" operator="containsText" text="ENTREGADO">
      <formula>NOT(ISERROR(SEARCH("ENTREGADO",P89)))</formula>
    </cfRule>
    <cfRule type="containsText" dxfId="5476" priority="1887" operator="containsText" text="ENTREGADO">
      <formula>NOT(ISERROR(SEARCH("ENTREGADO",P89)))</formula>
    </cfRule>
  </conditionalFormatting>
  <conditionalFormatting sqref="P90">
    <cfRule type="containsText" dxfId="5475" priority="1211" operator="containsText" text="ENTREGADO">
      <formula>NOT(ISERROR(SEARCH("ENTREGADO",P90)))</formula>
    </cfRule>
    <cfRule type="containsText" dxfId="5474" priority="1212" operator="containsText" text="ENTREGADO">
      <formula>NOT(ISERROR(SEARCH("ENTREGADO",P90)))</formula>
    </cfRule>
    <cfRule type="containsText" dxfId="5473" priority="1208" operator="containsText" text="ENTREGADO">
      <formula>NOT(ISERROR(SEARCH("ENTREGADO",P90)))</formula>
    </cfRule>
    <cfRule type="containsText" dxfId="5472" priority="1210" operator="containsText" text="ENTREGADO">
      <formula>NOT(ISERROR(SEARCH("ENTREGADO",P90)))</formula>
    </cfRule>
  </conditionalFormatting>
  <conditionalFormatting sqref="P91">
    <cfRule type="containsText" dxfId="5471" priority="1028" operator="containsText" text="ENTREGADO">
      <formula>NOT(ISERROR(SEARCH("ENTREGADO",P91)))</formula>
    </cfRule>
    <cfRule type="containsText" dxfId="5470" priority="1032" operator="containsText" text="ENTREGADO">
      <formula>NOT(ISERROR(SEARCH("ENTREGADO",P91)))</formula>
    </cfRule>
    <cfRule type="containsText" dxfId="5469" priority="1030" operator="containsText" text="ENTREGADO">
      <formula>NOT(ISERROR(SEARCH("ENTREGADO",P91)))</formula>
    </cfRule>
    <cfRule type="containsText" dxfId="5468" priority="1031" operator="containsText" text="ENTREGADO">
      <formula>NOT(ISERROR(SEARCH("ENTREGADO",P91)))</formula>
    </cfRule>
  </conditionalFormatting>
  <conditionalFormatting sqref="P92">
    <cfRule type="containsText" dxfId="5467" priority="887" operator="containsText" text="ENTREGADO">
      <formula>NOT(ISERROR(SEARCH("ENTREGADO",P92)))</formula>
    </cfRule>
    <cfRule type="containsText" dxfId="5466" priority="891" operator="containsText" text="ENTREGADO">
      <formula>NOT(ISERROR(SEARCH("ENTREGADO",P92)))</formula>
    </cfRule>
    <cfRule type="containsText" dxfId="5465" priority="890" operator="containsText" text="ENTREGADO">
      <formula>NOT(ISERROR(SEARCH("ENTREGADO",P92)))</formula>
    </cfRule>
    <cfRule type="containsText" dxfId="5464" priority="889" operator="containsText" text="ENTREGADO">
      <formula>NOT(ISERROR(SEARCH("ENTREGADO",P92)))</formula>
    </cfRule>
  </conditionalFormatting>
  <conditionalFormatting sqref="P11:Q11">
    <cfRule type="containsText" dxfId="5463" priority="8098" operator="containsText" text="PENDIENTE">
      <formula>NOT(ISERROR(SEARCH("PENDIENTE",P11)))</formula>
    </cfRule>
  </conditionalFormatting>
  <conditionalFormatting sqref="P22:Q22">
    <cfRule type="containsText" dxfId="5462" priority="10690" operator="containsText" text="PRIORIDAD">
      <formula>NOT(ISERROR(SEARCH("PRIORIDAD",P22)))</formula>
    </cfRule>
  </conditionalFormatting>
  <conditionalFormatting sqref="P23:Q23">
    <cfRule type="containsText" dxfId="5461" priority="6851" operator="containsText" text="ENTREGADO">
      <formula>NOT(ISERROR(SEARCH("ENTREGADO",P23)))</formula>
    </cfRule>
  </conditionalFormatting>
  <conditionalFormatting sqref="P31:Q31">
    <cfRule type="containsText" dxfId="5460" priority="8000" operator="containsText" text="PRIORIDAD">
      <formula>NOT(ISERROR(SEARCH("PRIORIDAD",P31)))</formula>
    </cfRule>
    <cfRule type="containsText" dxfId="5459" priority="8001" operator="containsText" text="ENTREGADO">
      <formula>NOT(ISERROR(SEARCH("ENTREGADO",P31)))</formula>
    </cfRule>
  </conditionalFormatting>
  <conditionalFormatting sqref="P42:Q44">
    <cfRule type="containsText" dxfId="5458" priority="12786" operator="containsText" text="PENDIENTE">
      <formula>NOT(ISERROR(SEARCH("PENDIENTE",P42)))</formula>
    </cfRule>
  </conditionalFormatting>
  <conditionalFormatting sqref="P45:Q45">
    <cfRule type="containsText" dxfId="5457" priority="10863" operator="containsText" text="PRIORIDAD">
      <formula>NOT(ISERROR(SEARCH("PRIORIDAD",P45)))</formula>
    </cfRule>
    <cfRule type="containsText" dxfId="5456" priority="10864" operator="containsText" text="ENTREGADO">
      <formula>NOT(ISERROR(SEARCH("ENTREGADO",P45)))</formula>
    </cfRule>
  </conditionalFormatting>
  <conditionalFormatting sqref="P46:Q49">
    <cfRule type="containsText" dxfId="5455" priority="4385" operator="containsText" text="PRIORIDAD">
      <formula>NOT(ISERROR(SEARCH("PRIORIDAD",P46)))</formula>
    </cfRule>
    <cfRule type="containsText" dxfId="5454" priority="4386" operator="containsText" text="ENTREGADO">
      <formula>NOT(ISERROR(SEARCH("ENTREGADO",P46)))</formula>
    </cfRule>
  </conditionalFormatting>
  <conditionalFormatting sqref="P50:Q50">
    <cfRule type="containsText" dxfId="5453" priority="1719" operator="containsText" text="PRIORIDAD">
      <formula>NOT(ISERROR(SEARCH("PRIORIDAD",P50)))</formula>
    </cfRule>
  </conditionalFormatting>
  <conditionalFormatting sqref="P51:Q51">
    <cfRule type="containsText" dxfId="5452" priority="10856" operator="containsText" text="PRIORIDAD">
      <formula>NOT(ISERROR(SEARCH("PRIORIDAD",P51)))</formula>
    </cfRule>
    <cfRule type="containsText" dxfId="5451" priority="10857" operator="containsText" text="ENTREGADO">
      <formula>NOT(ISERROR(SEARCH("ENTREGADO",P51)))</formula>
    </cfRule>
    <cfRule type="containsText" dxfId="5450" priority="10858" operator="containsText" text="PENDIENTE">
      <formula>NOT(ISERROR(SEARCH("PENDIENTE",P51)))</formula>
    </cfRule>
  </conditionalFormatting>
  <conditionalFormatting sqref="P52:Q54">
    <cfRule type="containsText" dxfId="5449" priority="7057" operator="containsText" text="PRIORIDAD">
      <formula>NOT(ISERROR(SEARCH("PRIORIDAD",P52)))</formula>
    </cfRule>
  </conditionalFormatting>
  <conditionalFormatting sqref="P53:Q53">
    <cfRule type="containsText" dxfId="5448" priority="210" operator="containsText" text="ENTREGADO">
      <formula>NOT(ISERROR(SEARCH("ENTREGADO",P53)))</formula>
    </cfRule>
    <cfRule type="containsText" dxfId="5447" priority="205" operator="containsText" text="PRIORIDAD">
      <formula>NOT(ISERROR(SEARCH("PRIORIDAD",P53)))</formula>
    </cfRule>
  </conditionalFormatting>
  <conditionalFormatting sqref="P54:Q54">
    <cfRule type="containsText" dxfId="5446" priority="7062" operator="containsText" text="ENTREGADO">
      <formula>NOT(ISERROR(SEARCH("ENTREGADO",P54)))</formula>
    </cfRule>
  </conditionalFormatting>
  <conditionalFormatting sqref="P55:Q55">
    <cfRule type="containsText" dxfId="5445" priority="595" operator="containsText" text="PRIORIDAD">
      <formula>NOT(ISERROR(SEARCH("PRIORIDAD",P55)))</formula>
    </cfRule>
  </conditionalFormatting>
  <conditionalFormatting sqref="P56:Q56">
    <cfRule type="containsText" dxfId="5444" priority="6949" operator="containsText" text="PRIORIDAD">
      <formula>NOT(ISERROR(SEARCH("PRIORIDAD",P56)))</formula>
    </cfRule>
  </conditionalFormatting>
  <conditionalFormatting sqref="P78:Q78">
    <cfRule type="containsText" dxfId="5443" priority="1634" operator="containsText" text="PRIORIDAD">
      <formula>NOT(ISERROR(SEARCH("PRIORIDAD",P78)))</formula>
    </cfRule>
  </conditionalFormatting>
  <conditionalFormatting sqref="P40:R40">
    <cfRule type="containsText" dxfId="5442" priority="7080" operator="containsText" text="ENTREGADO">
      <formula>NOT(ISERROR(SEARCH("ENTREGADO",P40)))</formula>
    </cfRule>
  </conditionalFormatting>
  <conditionalFormatting sqref="P60:R61">
    <cfRule type="containsText" dxfId="5441" priority="4518" operator="containsText" text="PRIORIDAD">
      <formula>NOT(ISERROR(SEARCH("PRIORIDAD",P60)))</formula>
    </cfRule>
  </conditionalFormatting>
  <conditionalFormatting sqref="Q3">
    <cfRule type="containsText" dxfId="5440" priority="11970" operator="containsText" text="PRIORIDAD">
      <formula>NOT(ISERROR(SEARCH("PRIORIDAD",Q3)))</formula>
    </cfRule>
    <cfRule type="containsText" dxfId="5439" priority="11974" operator="containsText" text="PRIORIDAD">
      <formula>NOT(ISERROR(SEARCH("PRIORIDAD",Q3)))</formula>
    </cfRule>
    <cfRule type="containsText" dxfId="5438" priority="11971" operator="containsText" text="ENTREGADO">
      <formula>NOT(ISERROR(SEARCH("ENTREGADO",Q3)))</formula>
    </cfRule>
    <cfRule type="containsText" dxfId="5437" priority="11975" operator="containsText" text="ENTREGADO">
      <formula>NOT(ISERROR(SEARCH("ENTREGADO",Q3)))</formula>
    </cfRule>
    <cfRule type="containsText" dxfId="5436" priority="11973" operator="containsText" text="ENTREGADO">
      <formula>NOT(ISERROR(SEARCH("ENTREGADO",Q3)))</formula>
    </cfRule>
    <cfRule type="containsText" dxfId="5435" priority="11972" operator="containsText" text="PRIORIDAD">
      <formula>NOT(ISERROR(SEARCH("PRIORIDAD",Q3)))</formula>
    </cfRule>
  </conditionalFormatting>
  <conditionalFormatting sqref="Q3:Q4">
    <cfRule type="containsText" dxfId="5434" priority="11923" operator="containsText" text="PRIORIDAD">
      <formula>NOT(ISERROR(SEARCH("PRIORIDAD",Q3)))</formula>
    </cfRule>
    <cfRule type="containsText" dxfId="5433" priority="11924" operator="containsText" text="ENTREGADO">
      <formula>NOT(ISERROR(SEARCH("ENTREGADO",Q3)))</formula>
    </cfRule>
  </conditionalFormatting>
  <conditionalFormatting sqref="Q4">
    <cfRule type="containsText" dxfId="5432" priority="6810" operator="containsText" text="PRIORIDAD">
      <formula>NOT(ISERROR(SEARCH("PRIORIDAD",Q4)))</formula>
    </cfRule>
    <cfRule type="containsText" dxfId="5431" priority="6811" operator="containsText" text="ENTREGADO">
      <formula>NOT(ISERROR(SEARCH("ENTREGADO",Q4)))</formula>
    </cfRule>
    <cfRule type="containsText" dxfId="5430" priority="6812" operator="containsText" text="PENDIENTE">
      <formula>NOT(ISERROR(SEARCH("PENDIENTE",Q4)))</formula>
    </cfRule>
    <cfRule type="containsText" dxfId="5429" priority="11919" operator="containsText" text="PRIORIDAD">
      <formula>NOT(ISERROR(SEARCH("PRIORIDAD",Q4)))</formula>
    </cfRule>
    <cfRule type="containsText" dxfId="5428" priority="11920" operator="containsText" text="ENTREGADO">
      <formula>NOT(ISERROR(SEARCH("ENTREGADO",Q4)))</formula>
    </cfRule>
    <cfRule type="containsText" dxfId="5427" priority="11921" operator="containsText" text="PRIORIDAD">
      <formula>NOT(ISERROR(SEARCH("PRIORIDAD",Q4)))</formula>
    </cfRule>
    <cfRule type="containsText" dxfId="5426" priority="11922" operator="containsText" text="ENTREGADO">
      <formula>NOT(ISERROR(SEARCH("ENTREGADO",Q4)))</formula>
    </cfRule>
    <cfRule type="containsText" dxfId="5425" priority="11925" operator="containsText" text="PENDIENTE">
      <formula>NOT(ISERROR(SEARCH("PENDIENTE",Q4)))</formula>
    </cfRule>
    <cfRule type="containsText" dxfId="5424" priority="6808" operator="containsText" text="PRIORIDAD">
      <formula>NOT(ISERROR(SEARCH("PRIORIDAD",Q4)))</formula>
    </cfRule>
    <cfRule type="containsText" dxfId="5423" priority="6809" operator="containsText" text="ENTREGADO">
      <formula>NOT(ISERROR(SEARCH("ENTREGADO",Q4)))</formula>
    </cfRule>
  </conditionalFormatting>
  <conditionalFormatting sqref="Q4:Q5">
    <cfRule type="containsText" dxfId="5422" priority="6804" operator="containsText" text="ENTREGADO">
      <formula>NOT(ISERROR(SEARCH("ENTREGADO",Q4)))</formula>
    </cfRule>
    <cfRule type="containsText" dxfId="5421" priority="6803" operator="containsText" text="PRIORIDAD">
      <formula>NOT(ISERROR(SEARCH("PRIORIDAD",Q4)))</formula>
    </cfRule>
  </conditionalFormatting>
  <conditionalFormatting sqref="Q5">
    <cfRule type="containsText" dxfId="5420" priority="6802" operator="containsText" text="ENTREGADO">
      <formula>NOT(ISERROR(SEARCH("ENTREGADO",Q5)))</formula>
    </cfRule>
    <cfRule type="containsText" dxfId="5419" priority="6805" operator="containsText" text="PENDIENTE">
      <formula>NOT(ISERROR(SEARCH("PENDIENTE",Q5)))</formula>
    </cfRule>
    <cfRule type="containsText" dxfId="5418" priority="6801" operator="containsText" text="PRIORIDAD">
      <formula>NOT(ISERROR(SEARCH("PRIORIDAD",Q5)))</formula>
    </cfRule>
    <cfRule type="containsText" dxfId="5417" priority="6800" operator="containsText" text="ENTREGADO">
      <formula>NOT(ISERROR(SEARCH("ENTREGADO",Q5)))</formula>
    </cfRule>
    <cfRule type="containsText" dxfId="5416" priority="6799" operator="containsText" text="PRIORIDAD">
      <formula>NOT(ISERROR(SEARCH("PRIORIDAD",Q5)))</formula>
    </cfRule>
  </conditionalFormatting>
  <conditionalFormatting sqref="Q5:Q6">
    <cfRule type="containsText" dxfId="5415" priority="6795" operator="containsText" text="ENTREGADO">
      <formula>NOT(ISERROR(SEARCH("ENTREGADO",Q5)))</formula>
    </cfRule>
    <cfRule type="containsText" dxfId="5414" priority="6794" operator="containsText" text="PRIORIDAD">
      <formula>NOT(ISERROR(SEARCH("PRIORIDAD",Q5)))</formula>
    </cfRule>
  </conditionalFormatting>
  <conditionalFormatting sqref="Q6">
    <cfRule type="containsText" dxfId="5413" priority="6788" operator="containsText" text="PRIORIDAD">
      <formula>NOT(ISERROR(SEARCH("PRIORIDAD",Q6)))</formula>
    </cfRule>
    <cfRule type="containsText" dxfId="5412" priority="6793" operator="containsText" text="ENTREGADO">
      <formula>NOT(ISERROR(SEARCH("ENTREGADO",Q6)))</formula>
    </cfRule>
    <cfRule type="containsText" dxfId="5411" priority="6796" operator="containsText" text="PENDIENTE">
      <formula>NOT(ISERROR(SEARCH("PENDIENTE",Q6)))</formula>
    </cfRule>
    <cfRule type="containsText" dxfId="5410" priority="6789" operator="containsText" text="ENTREGADO">
      <formula>NOT(ISERROR(SEARCH("ENTREGADO",Q6)))</formula>
    </cfRule>
    <cfRule type="containsText" dxfId="5409" priority="6790" operator="containsText" text="PRIORIDAD">
      <formula>NOT(ISERROR(SEARCH("PRIORIDAD",Q6)))</formula>
    </cfRule>
    <cfRule type="containsText" dxfId="5408" priority="6791" operator="containsText" text="ENTREGADO">
      <formula>NOT(ISERROR(SEARCH("ENTREGADO",Q6)))</formula>
    </cfRule>
    <cfRule type="containsText" dxfId="5407" priority="6792" operator="containsText" text="PRIORIDAD">
      <formula>NOT(ISERROR(SEARCH("PRIORIDAD",Q6)))</formula>
    </cfRule>
  </conditionalFormatting>
  <conditionalFormatting sqref="Q7">
    <cfRule type="containsText" dxfId="5406" priority="10813" operator="containsText" text="PENDIENTE">
      <formula>NOT(ISERROR(SEARCH("PENDIENTE",Q7)))</formula>
    </cfRule>
    <cfRule type="containsText" dxfId="5405" priority="10806" operator="containsText" text="ENTREGADO">
      <formula>NOT(ISERROR(SEARCH("ENTREGADO",Q7)))</formula>
    </cfRule>
    <cfRule type="containsText" dxfId="5404" priority="10808" operator="containsText" text="ENTREGADO">
      <formula>NOT(ISERROR(SEARCH("ENTREGADO",Q7)))</formula>
    </cfRule>
    <cfRule type="containsText" dxfId="5403" priority="10811" operator="containsText" text="PRIORIDAD">
      <formula>NOT(ISERROR(SEARCH("PRIORIDAD",Q7)))</formula>
    </cfRule>
    <cfRule type="containsText" dxfId="5402" priority="10812" operator="containsText" text="ENTREGADO">
      <formula>NOT(ISERROR(SEARCH("ENTREGADO",Q7)))</formula>
    </cfRule>
    <cfRule type="containsText" dxfId="5401" priority="10810" operator="containsText" text="ENTREGADO">
      <formula>NOT(ISERROR(SEARCH("ENTREGADO",Q7)))</formula>
    </cfRule>
    <cfRule type="containsText" dxfId="5400" priority="10809" operator="containsText" text="PRIORIDAD">
      <formula>NOT(ISERROR(SEARCH("PRIORIDAD",Q7)))</formula>
    </cfRule>
    <cfRule type="containsText" dxfId="5399" priority="10807" operator="containsText" text="PRIORIDAD">
      <formula>NOT(ISERROR(SEARCH("PRIORIDAD",Q7)))</formula>
    </cfRule>
  </conditionalFormatting>
  <conditionalFormatting sqref="Q8">
    <cfRule type="containsText" dxfId="5398" priority="6787" operator="containsText" text="PENDIENTE">
      <formula>NOT(ISERROR(SEARCH("PENDIENTE",Q8)))</formula>
    </cfRule>
    <cfRule type="containsText" dxfId="5397" priority="6786" operator="containsText" text="ENTREGADO">
      <formula>NOT(ISERROR(SEARCH("ENTREGADO",Q8)))</formula>
    </cfRule>
    <cfRule type="containsText" dxfId="5396" priority="6784" operator="containsText" text="ENTREGADO">
      <formula>NOT(ISERROR(SEARCH("ENTREGADO",Q8)))</formula>
    </cfRule>
    <cfRule type="containsText" dxfId="5395" priority="6780" operator="containsText" text="ENTREGADO">
      <formula>NOT(ISERROR(SEARCH("ENTREGADO",Q8)))</formula>
    </cfRule>
    <cfRule type="containsText" dxfId="5394" priority="6782" operator="containsText" text="ENTREGADO">
      <formula>NOT(ISERROR(SEARCH("ENTREGADO",Q8)))</formula>
    </cfRule>
    <cfRule type="containsText" dxfId="5393" priority="6783" operator="containsText" text="PRIORIDAD">
      <formula>NOT(ISERROR(SEARCH("PRIORIDAD",Q8)))</formula>
    </cfRule>
    <cfRule type="containsText" dxfId="5392" priority="6779" operator="containsText" text="PRIORIDAD">
      <formula>NOT(ISERROR(SEARCH("PRIORIDAD",Q8)))</formula>
    </cfRule>
    <cfRule type="containsText" dxfId="5391" priority="6781" operator="containsText" text="PRIORIDAD">
      <formula>NOT(ISERROR(SEARCH("PRIORIDAD",Q8)))</formula>
    </cfRule>
  </conditionalFormatting>
  <conditionalFormatting sqref="Q8:Q21">
    <cfRule type="containsText" dxfId="5390" priority="6785" operator="containsText" text="PRIORIDAD">
      <formula>NOT(ISERROR(SEARCH("PRIORIDAD",Q8)))</formula>
    </cfRule>
  </conditionalFormatting>
  <conditionalFormatting sqref="Q9">
    <cfRule type="containsText" dxfId="5389" priority="9551" operator="containsText" text="PENDIENTE">
      <formula>NOT(ISERROR(SEARCH("PENDIENTE",Q9)))</formula>
    </cfRule>
  </conditionalFormatting>
  <conditionalFormatting sqref="Q10">
    <cfRule type="containsText" dxfId="5388" priority="8187" operator="containsText" text="PENDIENTE">
      <formula>NOT(ISERROR(SEARCH("PENDIENTE",Q10)))</formula>
    </cfRule>
    <cfRule type="containsText" dxfId="5387" priority="5047" operator="containsText" text="ENTREGADO">
      <formula>NOT(ISERROR(SEARCH("ENTREGADO",Q10)))</formula>
    </cfRule>
  </conditionalFormatting>
  <conditionalFormatting sqref="Q10:Q11">
    <cfRule type="containsText" dxfId="5386" priority="5048" operator="containsText" text="PENDIENTE">
      <formula>NOT(ISERROR(SEARCH("PENDIENTE",Q10)))</formula>
    </cfRule>
  </conditionalFormatting>
  <conditionalFormatting sqref="Q10:Q21">
    <cfRule type="containsText" dxfId="5385" priority="7914" operator="containsText" text="ENTREGADO">
      <formula>NOT(ISERROR(SEARCH("ENTREGADO",Q10)))</formula>
    </cfRule>
  </conditionalFormatting>
  <conditionalFormatting sqref="Q13">
    <cfRule type="containsText" dxfId="5384" priority="5045" operator="containsText" text="ENTREGADO">
      <formula>NOT(ISERROR(SEARCH("ENTREGADO",Q13)))</formula>
    </cfRule>
    <cfRule type="containsText" dxfId="5383" priority="5046" operator="containsText" text="PENDIENTE">
      <formula>NOT(ISERROR(SEARCH("PENDIENTE",Q13)))</formula>
    </cfRule>
  </conditionalFormatting>
  <conditionalFormatting sqref="Q18:Q21">
    <cfRule type="containsText" dxfId="5382" priority="7915" operator="containsText" text="PENDIENTE">
      <formula>NOT(ISERROR(SEARCH("PENDIENTE",Q18)))</formula>
    </cfRule>
  </conditionalFormatting>
  <conditionalFormatting sqref="Q22">
    <cfRule type="containsText" dxfId="5381" priority="10694" operator="containsText" text="PENDIENTE">
      <formula>NOT(ISERROR(SEARCH("PENDIENTE",Q22)))</formula>
    </cfRule>
  </conditionalFormatting>
  <conditionalFormatting sqref="Q23">
    <cfRule type="containsText" dxfId="5380" priority="6852" operator="containsText" text="PENDIENTE">
      <formula>NOT(ISERROR(SEARCH("PENDIENTE",Q23)))</formula>
    </cfRule>
  </conditionalFormatting>
  <conditionalFormatting sqref="Q24">
    <cfRule type="containsText" dxfId="5379" priority="9587" operator="containsText" text="PENDIENTE">
      <formula>NOT(ISERROR(SEARCH("PENDIENTE",Q24)))</formula>
    </cfRule>
  </conditionalFormatting>
  <conditionalFormatting sqref="Q25:Q26 Q68:Q69">
    <cfRule type="containsText" dxfId="5378" priority="7353" operator="containsText" text="PRIORIDAD">
      <formula>NOT(ISERROR(SEARCH("PRIORIDAD",Q25)))</formula>
    </cfRule>
    <cfRule type="containsText" dxfId="5377" priority="7354" operator="containsText" text="ENTREGADO">
      <formula>NOT(ISERROR(SEARCH("ENTREGADO",Q25)))</formula>
    </cfRule>
    <cfRule type="containsText" dxfId="5376" priority="7355" operator="containsText" text="PRIORIDAD">
      <formula>NOT(ISERROR(SEARCH("PRIORIDAD",Q25)))</formula>
    </cfRule>
    <cfRule type="containsText" dxfId="5375" priority="7356" operator="containsText" text="ENTREGADO">
      <formula>NOT(ISERROR(SEARCH("ENTREGADO",Q25)))</formula>
    </cfRule>
    <cfRule type="containsText" dxfId="5374" priority="7359" operator="containsText" text="PENDIENTE">
      <formula>NOT(ISERROR(SEARCH("PENDIENTE",Q25)))</formula>
    </cfRule>
    <cfRule type="containsText" dxfId="5373" priority="7357" operator="containsText" text="PRIORIDAD">
      <formula>NOT(ISERROR(SEARCH("PRIORIDAD",Q25)))</formula>
    </cfRule>
  </conditionalFormatting>
  <conditionalFormatting sqref="Q25:Q26">
    <cfRule type="containsText" dxfId="5372" priority="7352" operator="containsText" text="ENTREGADO">
      <formula>NOT(ISERROR(SEARCH("ENTREGADO",Q25)))</formula>
    </cfRule>
  </conditionalFormatting>
  <conditionalFormatting sqref="Q27">
    <cfRule type="containsText" dxfId="5371" priority="5842" operator="containsText" text="ENTREGADO">
      <formula>NOT(ISERROR(SEARCH("ENTREGADO",Q27)))</formula>
    </cfRule>
    <cfRule type="containsText" dxfId="5370" priority="5836" operator="containsText" text="ENTREGADO">
      <formula>NOT(ISERROR(SEARCH("ENTREGADO",Q27)))</formula>
    </cfRule>
    <cfRule type="containsText" dxfId="5369" priority="5837" operator="containsText" text="PRIORIDAD">
      <formula>NOT(ISERROR(SEARCH("PRIORIDAD",Q27)))</formula>
    </cfRule>
    <cfRule type="containsText" dxfId="5368" priority="5838" operator="containsText" text="ENTREGADO">
      <formula>NOT(ISERROR(SEARCH("ENTREGADO",Q27)))</formula>
    </cfRule>
    <cfRule type="containsText" dxfId="5367" priority="5840" operator="containsText" text="ENTREGADO">
      <formula>NOT(ISERROR(SEARCH("ENTREGADO",Q27)))</formula>
    </cfRule>
    <cfRule type="containsText" dxfId="5366" priority="5843" operator="containsText" text="PENDIENTE">
      <formula>NOT(ISERROR(SEARCH("PENDIENTE",Q27)))</formula>
    </cfRule>
    <cfRule type="containsText" dxfId="5365" priority="5841" operator="containsText" text="PRIORIDAD">
      <formula>NOT(ISERROR(SEARCH("PRIORIDAD",Q27)))</formula>
    </cfRule>
    <cfRule type="containsText" dxfId="5364" priority="5839" operator="containsText" text="PRIORIDAD">
      <formula>NOT(ISERROR(SEARCH("PRIORIDAD",Q27)))</formula>
    </cfRule>
  </conditionalFormatting>
  <conditionalFormatting sqref="Q27:Q28">
    <cfRule type="containsText" dxfId="5363" priority="5844" operator="containsText" text="PRIORIDAD">
      <formula>NOT(ISERROR(SEARCH("PRIORIDAD",Q27)))</formula>
    </cfRule>
  </conditionalFormatting>
  <conditionalFormatting sqref="Q28">
    <cfRule type="containsText" dxfId="5362" priority="7071" operator="containsText" text="ENTREGADO">
      <formula>NOT(ISERROR(SEARCH("ENTREGADO",Q28)))</formula>
    </cfRule>
    <cfRule type="containsText" dxfId="5361" priority="7072" operator="containsText" text="PENDIENTE">
      <formula>NOT(ISERROR(SEARCH("PENDIENTE",Q28)))</formula>
    </cfRule>
  </conditionalFormatting>
  <conditionalFormatting sqref="Q29">
    <cfRule type="containsText" dxfId="5360" priority="9315" operator="containsText" text="PRIORIDAD">
      <formula>NOT(ISERROR(SEARCH("PRIORIDAD",Q29)))</formula>
    </cfRule>
    <cfRule type="containsText" dxfId="5359" priority="9317" operator="containsText" text="PRIORIDAD">
      <formula>NOT(ISERROR(SEARCH("PRIORIDAD",Q29)))</formula>
    </cfRule>
    <cfRule type="containsText" dxfId="5358" priority="9319" operator="containsText" text="PENDIENTE">
      <formula>NOT(ISERROR(SEARCH("PENDIENTE",Q29)))</formula>
    </cfRule>
    <cfRule type="containsText" dxfId="5357" priority="9318" operator="containsText" text="ENTREGADO">
      <formula>NOT(ISERROR(SEARCH("ENTREGADO",Q29)))</formula>
    </cfRule>
    <cfRule type="containsText" dxfId="5356" priority="9313" operator="containsText" text="PRIORIDAD">
      <formula>NOT(ISERROR(SEARCH("PRIORIDAD",Q29)))</formula>
    </cfRule>
    <cfRule type="containsText" dxfId="5355" priority="9314" operator="containsText" text="ENTREGADO">
      <formula>NOT(ISERROR(SEARCH("ENTREGADO",Q29)))</formula>
    </cfRule>
    <cfRule type="containsText" dxfId="5354" priority="9316" operator="containsText" text="ENTREGADO">
      <formula>NOT(ISERROR(SEARCH("ENTREGADO",Q29)))</formula>
    </cfRule>
  </conditionalFormatting>
  <conditionalFormatting sqref="Q29:Q30">
    <cfRule type="containsText" dxfId="5353" priority="8011" operator="containsText" text="PRIORIDAD">
      <formula>NOT(ISERROR(SEARCH("PRIORIDAD",Q29)))</formula>
    </cfRule>
    <cfRule type="containsText" dxfId="5352" priority="8012" operator="containsText" text="ENTREGADO">
      <formula>NOT(ISERROR(SEARCH("ENTREGADO",Q29)))</formula>
    </cfRule>
  </conditionalFormatting>
  <conditionalFormatting sqref="Q30">
    <cfRule type="containsText" dxfId="5351" priority="8013" operator="containsText" text="PENDIENTE">
      <formula>NOT(ISERROR(SEARCH("PENDIENTE",Q30)))</formula>
    </cfRule>
    <cfRule type="containsText" dxfId="5350" priority="8009" operator="containsText" text="PRIORIDAD">
      <formula>NOT(ISERROR(SEARCH("PRIORIDAD",Q30)))</formula>
    </cfRule>
    <cfRule type="containsText" dxfId="5349" priority="8010" operator="containsText" text="ENTREGADO">
      <formula>NOT(ISERROR(SEARCH("ENTREGADO",Q30)))</formula>
    </cfRule>
    <cfRule type="containsText" dxfId="5348" priority="8007" operator="containsText" text="PRIORIDAD">
      <formula>NOT(ISERROR(SEARCH("PRIORIDAD",Q30)))</formula>
    </cfRule>
    <cfRule type="containsText" dxfId="5347" priority="8008" operator="containsText" text="ENTREGADO">
      <formula>NOT(ISERROR(SEARCH("ENTREGADO",Q30)))</formula>
    </cfRule>
  </conditionalFormatting>
  <conditionalFormatting sqref="Q30:Q32">
    <cfRule type="containsText" dxfId="5346" priority="8002" operator="containsText" text="PRIORIDAD">
      <formula>NOT(ISERROR(SEARCH("PRIORIDAD",Q30)))</formula>
    </cfRule>
    <cfRule type="containsText" dxfId="5345" priority="8003" operator="containsText" text="ENTREGADO">
      <formula>NOT(ISERROR(SEARCH("ENTREGADO",Q30)))</formula>
    </cfRule>
  </conditionalFormatting>
  <conditionalFormatting sqref="Q31">
    <cfRule type="containsText" dxfId="5344" priority="7998" operator="containsText" text="PRIORIDAD">
      <formula>NOT(ISERROR(SEARCH("PRIORIDAD",Q31)))</formula>
    </cfRule>
    <cfRule type="containsText" dxfId="5343" priority="7999" operator="containsText" text="ENTREGADO">
      <formula>NOT(ISERROR(SEARCH("ENTREGADO",Q31)))</formula>
    </cfRule>
    <cfRule type="containsText" dxfId="5342" priority="8004" operator="containsText" text="PENDIENTE">
      <formula>NOT(ISERROR(SEARCH("PENDIENTE",Q31)))</formula>
    </cfRule>
  </conditionalFormatting>
  <conditionalFormatting sqref="Q32">
    <cfRule type="containsText" dxfId="5341" priority="9304" operator="containsText" text="PRIORIDAD">
      <formula>NOT(ISERROR(SEARCH("PRIORIDAD",Q32)))</formula>
    </cfRule>
    <cfRule type="containsText" dxfId="5340" priority="9305" operator="containsText" text="ENTREGADO">
      <formula>NOT(ISERROR(SEARCH("ENTREGADO",Q32)))</formula>
    </cfRule>
    <cfRule type="containsText" dxfId="5339" priority="9306" operator="containsText" text="PRIORIDAD">
      <formula>NOT(ISERROR(SEARCH("PRIORIDAD",Q32)))</formula>
    </cfRule>
    <cfRule type="containsText" dxfId="5338" priority="9307" operator="containsText" text="ENTREGADO">
      <formula>NOT(ISERROR(SEARCH("ENTREGADO",Q32)))</formula>
    </cfRule>
    <cfRule type="containsText" dxfId="5337" priority="9308" operator="containsText" text="PRIORIDAD">
      <formula>NOT(ISERROR(SEARCH("PRIORIDAD",Q32)))</formula>
    </cfRule>
    <cfRule type="containsText" dxfId="5336" priority="9309" operator="containsText" text="ENTREGADO">
      <formula>NOT(ISERROR(SEARCH("ENTREGADO",Q32)))</formula>
    </cfRule>
    <cfRule type="containsText" dxfId="5335" priority="9310" operator="containsText" text="PENDIENTE">
      <formula>NOT(ISERROR(SEARCH("PENDIENTE",Q32)))</formula>
    </cfRule>
  </conditionalFormatting>
  <conditionalFormatting sqref="Q33">
    <cfRule type="containsText" dxfId="5334" priority="3936" operator="containsText" text="ENTREGADO">
      <formula>NOT(ISERROR(SEARCH("ENTREGADO",Q33)))</formula>
    </cfRule>
    <cfRule type="containsText" dxfId="5333" priority="3939" operator="containsText" text="PENDIENTE">
      <formula>NOT(ISERROR(SEARCH("PENDIENTE",Q33)))</formula>
    </cfRule>
    <cfRule type="containsText" dxfId="5332" priority="3937" operator="containsText" text="PRIORIDAD">
      <formula>NOT(ISERROR(SEARCH("PRIORIDAD",Q33)))</formula>
    </cfRule>
    <cfRule type="containsText" dxfId="5331" priority="3935" operator="containsText" text="PRIORIDAD">
      <formula>NOT(ISERROR(SEARCH("PRIORIDAD",Q33)))</formula>
    </cfRule>
    <cfRule type="containsText" dxfId="5330" priority="3931" operator="containsText" text="PRIORIDAD">
      <formula>NOT(ISERROR(SEARCH("PRIORIDAD",Q33)))</formula>
    </cfRule>
    <cfRule type="containsText" dxfId="5329" priority="3938" operator="containsText" text="ENTREGADO">
      <formula>NOT(ISERROR(SEARCH("ENTREGADO",Q33)))</formula>
    </cfRule>
    <cfRule type="containsText" dxfId="5328" priority="3932" operator="containsText" text="ENTREGADO">
      <formula>NOT(ISERROR(SEARCH("ENTREGADO",Q33)))</formula>
    </cfRule>
    <cfRule type="containsText" dxfId="5327" priority="3933" operator="containsText" text="PRIORIDAD">
      <formula>NOT(ISERROR(SEARCH("PRIORIDAD",Q33)))</formula>
    </cfRule>
    <cfRule type="containsText" dxfId="5326" priority="3934" operator="containsText" text="ENTREGADO">
      <formula>NOT(ISERROR(SEARCH("ENTREGADO",Q33)))</formula>
    </cfRule>
  </conditionalFormatting>
  <conditionalFormatting sqref="Q34">
    <cfRule type="containsText" dxfId="5325" priority="7995" operator="containsText" text="PENDIENTE">
      <formula>NOT(ISERROR(SEARCH("PENDIENTE",Q34)))</formula>
    </cfRule>
    <cfRule type="containsText" dxfId="5324" priority="7992" operator="containsText" text="ENTREGADO">
      <formula>NOT(ISERROR(SEARCH("ENTREGADO",Q34)))</formula>
    </cfRule>
    <cfRule type="containsText" dxfId="5323" priority="7989" operator="containsText" text="PRIORIDAD">
      <formula>NOT(ISERROR(SEARCH("PRIORIDAD",Q34)))</formula>
    </cfRule>
    <cfRule type="containsText" dxfId="5322" priority="7991" operator="containsText" text="PRIORIDAD">
      <formula>NOT(ISERROR(SEARCH("PRIORIDAD",Q34)))</formula>
    </cfRule>
    <cfRule type="containsText" dxfId="5321" priority="7990" operator="containsText" text="ENTREGADO">
      <formula>NOT(ISERROR(SEARCH("ENTREGADO",Q34)))</formula>
    </cfRule>
  </conditionalFormatting>
  <conditionalFormatting sqref="Q34:Q35">
    <cfRule type="containsText" dxfId="5320" priority="7993" operator="containsText" text="PRIORIDAD">
      <formula>NOT(ISERROR(SEARCH("PRIORIDAD",Q34)))</formula>
    </cfRule>
    <cfRule type="containsText" dxfId="5319" priority="7994" operator="containsText" text="ENTREGADO">
      <formula>NOT(ISERROR(SEARCH("ENTREGADO",Q34)))</formula>
    </cfRule>
  </conditionalFormatting>
  <conditionalFormatting sqref="Q35">
    <cfRule type="containsText" dxfId="5318" priority="9285" operator="containsText" text="PRIORIDAD">
      <formula>NOT(ISERROR(SEARCH("PRIORIDAD",Q35)))</formula>
    </cfRule>
    <cfRule type="containsText" dxfId="5317" priority="9286" operator="containsText" text="ENTREGADO">
      <formula>NOT(ISERROR(SEARCH("ENTREGADO",Q35)))</formula>
    </cfRule>
    <cfRule type="containsText" dxfId="5316" priority="9289" operator="containsText" text="PENDIENTE">
      <formula>NOT(ISERROR(SEARCH("PENDIENTE",Q35)))</formula>
    </cfRule>
    <cfRule type="containsText" dxfId="5315" priority="9283" operator="containsText" text="PRIORIDAD">
      <formula>NOT(ISERROR(SEARCH("PRIORIDAD",Q35)))</formula>
    </cfRule>
    <cfRule type="containsText" dxfId="5314" priority="9284" operator="containsText" text="ENTREGADO">
      <formula>NOT(ISERROR(SEARCH("ENTREGADO",Q35)))</formula>
    </cfRule>
  </conditionalFormatting>
  <conditionalFormatting sqref="Q35:Q36">
    <cfRule type="containsText" dxfId="5313" priority="9288" operator="containsText" text="ENTREGADO">
      <formula>NOT(ISERROR(SEARCH("ENTREGADO",Q35)))</formula>
    </cfRule>
    <cfRule type="containsText" dxfId="5312" priority="9287" operator="containsText" text="PRIORIDAD">
      <formula>NOT(ISERROR(SEARCH("PRIORIDAD",Q35)))</formula>
    </cfRule>
  </conditionalFormatting>
  <conditionalFormatting sqref="Q36">
    <cfRule type="containsText" dxfId="5311" priority="5851" operator="containsText" text="PRIORIDAD">
      <formula>NOT(ISERROR(SEARCH("PRIORIDAD",Q36)))</formula>
    </cfRule>
    <cfRule type="containsText" dxfId="5310" priority="7066" operator="containsText" text="ENTREGADO">
      <formula>NOT(ISERROR(SEARCH("ENTREGADO",Q36)))</formula>
    </cfRule>
    <cfRule type="containsText" dxfId="5309" priority="7065" operator="containsText" text="PRIORIDAD">
      <formula>NOT(ISERROR(SEARCH("PRIORIDAD",Q36)))</formula>
    </cfRule>
    <cfRule type="containsText" dxfId="5308" priority="7064" operator="containsText" text="ENTREGADO">
      <formula>NOT(ISERROR(SEARCH("ENTREGADO",Q36)))</formula>
    </cfRule>
    <cfRule type="containsText" dxfId="5307" priority="7063" operator="containsText" text="PRIORIDAD">
      <formula>NOT(ISERROR(SEARCH("PRIORIDAD",Q36)))</formula>
    </cfRule>
    <cfRule type="containsText" dxfId="5306" priority="1776" operator="containsText" text="PENDIENTE">
      <formula>NOT(ISERROR(SEARCH("PENDIENTE",Q36)))</formula>
    </cfRule>
    <cfRule type="containsText" dxfId="5305" priority="1775" operator="containsText" text="ENTREGADO">
      <formula>NOT(ISERROR(SEARCH("ENTREGADO",Q36)))</formula>
    </cfRule>
    <cfRule type="containsText" dxfId="5304" priority="1774" operator="containsText" text="PRIORIDAD">
      <formula>NOT(ISERROR(SEARCH("PRIORIDAD",Q36)))</formula>
    </cfRule>
    <cfRule type="containsText" dxfId="5303" priority="1773" operator="containsText" text="ENTREGADO">
      <formula>NOT(ISERROR(SEARCH("ENTREGADO",Q36)))</formula>
    </cfRule>
    <cfRule type="containsText" dxfId="5302" priority="1772" operator="containsText" text="PRIORIDAD">
      <formula>NOT(ISERROR(SEARCH("PRIORIDAD",Q36)))</formula>
    </cfRule>
    <cfRule type="containsText" dxfId="5301" priority="9487" operator="containsText" text="PENDIENTE">
      <formula>NOT(ISERROR(SEARCH("PENDIENTE",Q36)))</formula>
    </cfRule>
    <cfRule type="containsText" dxfId="5300" priority="9486" operator="containsText" text="ENTREGADO">
      <formula>NOT(ISERROR(SEARCH("ENTREGADO",Q36)))</formula>
    </cfRule>
    <cfRule type="containsText" dxfId="5299" priority="9485" operator="containsText" text="PRIORIDAD">
      <formula>NOT(ISERROR(SEARCH("PRIORIDAD",Q36)))</formula>
    </cfRule>
    <cfRule type="containsText" dxfId="5298" priority="9484" operator="containsText" text="ENTREGADO">
      <formula>NOT(ISERROR(SEARCH("ENTREGADO",Q36)))</formula>
    </cfRule>
    <cfRule type="containsText" dxfId="5297" priority="9483" operator="containsText" text="PRIORIDAD">
      <formula>NOT(ISERROR(SEARCH("PRIORIDAD",Q36)))</formula>
    </cfRule>
    <cfRule type="containsText" dxfId="5296" priority="9482" operator="containsText" text="ENTREGADO">
      <formula>NOT(ISERROR(SEARCH("ENTREGADO",Q36)))</formula>
    </cfRule>
    <cfRule type="containsText" dxfId="5295" priority="9481" operator="containsText" text="PRIORIDAD">
      <formula>NOT(ISERROR(SEARCH("PRIORIDAD",Q36)))</formula>
    </cfRule>
    <cfRule type="containsText" dxfId="5294" priority="7069" operator="containsText" text="PENDIENTE">
      <formula>NOT(ISERROR(SEARCH("PENDIENTE",Q36)))</formula>
    </cfRule>
    <cfRule type="containsText" dxfId="5293" priority="7068" operator="containsText" text="ENTREGADO">
      <formula>NOT(ISERROR(SEARCH("ENTREGADO",Q36)))</formula>
    </cfRule>
    <cfRule type="containsText" dxfId="5292" priority="1771" operator="containsText" text="ENTREGADO">
      <formula>NOT(ISERROR(SEARCH("ENTREGADO",Q36)))</formula>
    </cfRule>
    <cfRule type="containsText" dxfId="5291" priority="7067" operator="containsText" text="PRIORIDAD">
      <formula>NOT(ISERROR(SEARCH("PRIORIDAD",Q36)))</formula>
    </cfRule>
    <cfRule type="containsText" dxfId="5290" priority="5857" operator="containsText" text="PENDIENTE">
      <formula>NOT(ISERROR(SEARCH("PENDIENTE",Q36)))</formula>
    </cfRule>
    <cfRule type="containsText" dxfId="5289" priority="5856" operator="containsText" text="ENTREGADO">
      <formula>NOT(ISERROR(SEARCH("ENTREGADO",Q36)))</formula>
    </cfRule>
    <cfRule type="containsText" dxfId="5288" priority="5855" operator="containsText" text="PRIORIDAD">
      <formula>NOT(ISERROR(SEARCH("PRIORIDAD",Q36)))</formula>
    </cfRule>
    <cfRule type="containsText" dxfId="5287" priority="5854" operator="containsText" text="ENTREGADO">
      <formula>NOT(ISERROR(SEARCH("ENTREGADO",Q36)))</formula>
    </cfRule>
    <cfRule type="containsText" dxfId="5286" priority="5853" operator="containsText" text="PRIORIDAD">
      <formula>NOT(ISERROR(SEARCH("PRIORIDAD",Q36)))</formula>
    </cfRule>
    <cfRule type="containsText" dxfId="5285" priority="5852" operator="containsText" text="ENTREGADO">
      <formula>NOT(ISERROR(SEARCH("ENTREGADO",Q36)))</formula>
    </cfRule>
  </conditionalFormatting>
  <conditionalFormatting sqref="Q36:Q39">
    <cfRule type="containsText" dxfId="5284" priority="1724" operator="containsText" text="PRIORIDAD">
      <formula>NOT(ISERROR(SEARCH("PRIORIDAD",Q36)))</formula>
    </cfRule>
  </conditionalFormatting>
  <conditionalFormatting sqref="Q37">
    <cfRule type="containsText" dxfId="5283" priority="1729" operator="containsText" text="PENDIENTE">
      <formula>NOT(ISERROR(SEARCH("PENDIENTE",Q37)))</formula>
    </cfRule>
    <cfRule type="containsText" dxfId="5282" priority="1728" operator="containsText" text="ENTREGADO">
      <formula>NOT(ISERROR(SEARCH("ENTREGADO",Q37)))</formula>
    </cfRule>
  </conditionalFormatting>
  <conditionalFormatting sqref="Q38">
    <cfRule type="containsText" dxfId="5281" priority="1725" operator="containsText" text="ENTREGADO">
      <formula>NOT(ISERROR(SEARCH("ENTREGADO",Q38)))</formula>
    </cfRule>
    <cfRule type="containsText" dxfId="5280" priority="1726" operator="containsText" text="PENDIENTE">
      <formula>NOT(ISERROR(SEARCH("PENDIENTE",Q38)))</formula>
    </cfRule>
  </conditionalFormatting>
  <conditionalFormatting sqref="Q39">
    <cfRule type="containsText" dxfId="5279" priority="1792" operator="containsText" text="PENDIENTE">
      <formula>NOT(ISERROR(SEARCH("PENDIENTE",Q39)))</formula>
    </cfRule>
    <cfRule type="containsText" dxfId="5278" priority="1791" operator="containsText" text="ENTREGADO">
      <formula>NOT(ISERROR(SEARCH("ENTREGADO",Q39)))</formula>
    </cfRule>
  </conditionalFormatting>
  <conditionalFormatting sqref="Q40">
    <cfRule type="containsText" dxfId="5277" priority="6833" operator="containsText" text="ENTREGADO">
      <formula>NOT(ISERROR(SEARCH("ENTREGADO",Q40)))</formula>
    </cfRule>
    <cfRule type="containsText" dxfId="5276" priority="7076" operator="containsText" text="ENTREGADO">
      <formula>NOT(ISERROR(SEARCH("ENTREGADO",Q40)))</formula>
    </cfRule>
    <cfRule type="containsText" dxfId="5275" priority="7077" operator="containsText" text="PRIORIDAD">
      <formula>NOT(ISERROR(SEARCH("PRIORIDAD",Q40)))</formula>
    </cfRule>
    <cfRule type="containsText" dxfId="5274" priority="6836" operator="containsText" text="PRIORIDAD">
      <formula>NOT(ISERROR(SEARCH("PRIORIDAD",Q40)))</formula>
    </cfRule>
    <cfRule type="containsText" dxfId="5273" priority="7078" operator="containsText" text="ENTREGADO">
      <formula>NOT(ISERROR(SEARCH("ENTREGADO",Q40)))</formula>
    </cfRule>
    <cfRule type="containsText" dxfId="5272" priority="7079" operator="containsText" text="PRIORIDAD">
      <formula>NOT(ISERROR(SEARCH("PRIORIDAD",Q40)))</formula>
    </cfRule>
    <cfRule type="containsText" dxfId="5271" priority="7081" operator="containsText" text="PENDIENTE">
      <formula>NOT(ISERROR(SEARCH("PENDIENTE",Q40)))</formula>
    </cfRule>
    <cfRule type="containsText" dxfId="5270" priority="6838" operator="containsText" text="PENDIENTE">
      <formula>NOT(ISERROR(SEARCH("PENDIENTE",Q40)))</formula>
    </cfRule>
    <cfRule type="containsText" dxfId="5269" priority="6837" operator="containsText" text="ENTREGADO">
      <formula>NOT(ISERROR(SEARCH("ENTREGADO",Q40)))</formula>
    </cfRule>
    <cfRule type="containsText" dxfId="5268" priority="7073" operator="containsText" text="PRIORIDAD">
      <formula>NOT(ISERROR(SEARCH("PRIORIDAD",Q40)))</formula>
    </cfRule>
    <cfRule type="containsText" dxfId="5267" priority="6835" operator="containsText" text="ENTREGADO">
      <formula>NOT(ISERROR(SEARCH("ENTREGADO",Q40)))</formula>
    </cfRule>
    <cfRule type="containsText" dxfId="5266" priority="6831" operator="containsText" text="ENTREGADO">
      <formula>NOT(ISERROR(SEARCH("ENTREGADO",Q40)))</formula>
    </cfRule>
    <cfRule type="containsText" dxfId="5265" priority="6832" operator="containsText" text="PRIORIDAD">
      <formula>NOT(ISERROR(SEARCH("PRIORIDAD",Q40)))</formula>
    </cfRule>
    <cfRule type="containsText" dxfId="5264" priority="7074" operator="containsText" text="ENTREGADO">
      <formula>NOT(ISERROR(SEARCH("ENTREGADO",Q40)))</formula>
    </cfRule>
    <cfRule type="containsText" dxfId="5263" priority="7075" operator="containsText" text="PRIORIDAD">
      <formula>NOT(ISERROR(SEARCH("PRIORIDAD",Q40)))</formula>
    </cfRule>
    <cfRule type="containsText" dxfId="5262" priority="6834" operator="containsText" text="PRIORIDAD">
      <formula>NOT(ISERROR(SEARCH("PRIORIDAD",Q40)))</formula>
    </cfRule>
  </conditionalFormatting>
  <conditionalFormatting sqref="Q41">
    <cfRule type="containsText" dxfId="5261" priority="3644" operator="containsText" text="ENTREGADO">
      <formula>NOT(ISERROR(SEARCH("ENTREGADO",Q41)))</formula>
    </cfRule>
    <cfRule type="containsText" dxfId="5260" priority="3652" operator="containsText" text="PRIORIDAD">
      <formula>NOT(ISERROR(SEARCH("PRIORIDAD",Q41)))</formula>
    </cfRule>
    <cfRule type="containsText" dxfId="5259" priority="3646" operator="containsText" text="PRIORIDAD">
      <formula>NOT(ISERROR(SEARCH("PRIORIDAD",Q41)))</formula>
    </cfRule>
    <cfRule type="containsText" dxfId="5258" priority="3647" operator="containsText" text="ENTREGADO">
      <formula>NOT(ISERROR(SEARCH("ENTREGADO",Q41)))</formula>
    </cfRule>
    <cfRule type="containsText" dxfId="5257" priority="3648" operator="containsText" text="PRIORIDAD">
      <formula>NOT(ISERROR(SEARCH("PRIORIDAD",Q41)))</formula>
    </cfRule>
    <cfRule type="containsText" dxfId="5256" priority="3649" operator="containsText" text="ENTREGADO">
      <formula>NOT(ISERROR(SEARCH("ENTREGADO",Q41)))</formula>
    </cfRule>
    <cfRule type="containsText" dxfId="5255" priority="3650" operator="containsText" text="PRIORIDAD">
      <formula>NOT(ISERROR(SEARCH("PRIORIDAD",Q41)))</formula>
    </cfRule>
    <cfRule type="containsText" dxfId="5254" priority="3645" operator="containsText" text="PENDIENTE">
      <formula>NOT(ISERROR(SEARCH("PENDIENTE",Q41)))</formula>
    </cfRule>
    <cfRule type="containsText" dxfId="5253" priority="3651" operator="containsText" text="ENTREGADO">
      <formula>NOT(ISERROR(SEARCH("ENTREGADO",Q41)))</formula>
    </cfRule>
    <cfRule type="containsText" dxfId="5252" priority="3654" operator="containsText" text="PENDIENTE">
      <formula>NOT(ISERROR(SEARCH("PENDIENTE",Q41)))</formula>
    </cfRule>
    <cfRule type="containsText" dxfId="5251" priority="3653" operator="containsText" text="ENTREGADO">
      <formula>NOT(ISERROR(SEARCH("ENTREGADO",Q41)))</formula>
    </cfRule>
  </conditionalFormatting>
  <conditionalFormatting sqref="Q42:Q44">
    <cfRule type="containsText" dxfId="5250" priority="12783" operator="containsText" text="ENTREGADO">
      <formula>NOT(ISERROR(SEARCH("ENTREGADO",Q42)))</formula>
    </cfRule>
    <cfRule type="containsText" dxfId="5249" priority="12782" operator="containsText" text="PRIORIDAD">
      <formula>NOT(ISERROR(SEARCH("PRIORIDAD",Q42)))</formula>
    </cfRule>
    <cfRule type="containsText" dxfId="5248" priority="12781" operator="containsText" text="ENTREGADO">
      <formula>NOT(ISERROR(SEARCH("ENTREGADO",Q42)))</formula>
    </cfRule>
    <cfRule type="containsText" dxfId="5247" priority="12780" operator="containsText" text="PRIORIDAD">
      <formula>NOT(ISERROR(SEARCH("PRIORIDAD",Q42)))</formula>
    </cfRule>
  </conditionalFormatting>
  <conditionalFormatting sqref="Q42:Q45">
    <cfRule type="containsText" dxfId="5246" priority="10865" operator="containsText" text="PRIORIDAD">
      <formula>NOT(ISERROR(SEARCH("PRIORIDAD",Q42)))</formula>
    </cfRule>
    <cfRule type="containsText" dxfId="5245" priority="10866" operator="containsText" text="ENTREGADO">
      <formula>NOT(ISERROR(SEARCH("ENTREGADO",Q42)))</formula>
    </cfRule>
  </conditionalFormatting>
  <conditionalFormatting sqref="Q45">
    <cfRule type="containsText" dxfId="5244" priority="10861" operator="containsText" text="PRIORIDAD">
      <formula>NOT(ISERROR(SEARCH("PRIORIDAD",Q45)))</formula>
    </cfRule>
    <cfRule type="containsText" dxfId="5243" priority="10862" operator="containsText" text="ENTREGADO">
      <formula>NOT(ISERROR(SEARCH("ENTREGADO",Q45)))</formula>
    </cfRule>
    <cfRule type="containsText" dxfId="5242" priority="9145" operator="containsText" text="ENTREGADO">
      <formula>NOT(ISERROR(SEARCH("ENTREGADO",Q45)))</formula>
    </cfRule>
  </conditionalFormatting>
  <conditionalFormatting sqref="Q45:Q49">
    <cfRule type="containsText" dxfId="5241" priority="4387" operator="containsText" text="PRIORIDAD">
      <formula>NOT(ISERROR(SEARCH("PRIORIDAD",Q45)))</formula>
    </cfRule>
  </conditionalFormatting>
  <conditionalFormatting sqref="Q46:Q49">
    <cfRule type="containsText" dxfId="5240" priority="4384" operator="containsText" text="ENTREGADO">
      <formula>NOT(ISERROR(SEARCH("ENTREGADO",Q46)))</formula>
    </cfRule>
    <cfRule type="containsText" dxfId="5239" priority="4383" operator="containsText" text="PRIORIDAD">
      <formula>NOT(ISERROR(SEARCH("PRIORIDAD",Q46)))</formula>
    </cfRule>
    <cfRule type="containsText" dxfId="5238" priority="4375" operator="containsText" text="ENTREGADO">
      <formula>NOT(ISERROR(SEARCH("ENTREGADO",Q46)))</formula>
    </cfRule>
    <cfRule type="containsText" dxfId="5237" priority="4388" operator="containsText" text="ENTREGADO">
      <formula>NOT(ISERROR(SEARCH("ENTREGADO",Q46)))</formula>
    </cfRule>
  </conditionalFormatting>
  <conditionalFormatting sqref="Q46:Q50">
    <cfRule type="containsText" dxfId="5236" priority="1722" operator="containsText" text="PRIORIDAD">
      <formula>NOT(ISERROR(SEARCH("PRIORIDAD",Q46)))</formula>
    </cfRule>
  </conditionalFormatting>
  <conditionalFormatting sqref="Q50">
    <cfRule type="containsText" dxfId="5235" priority="1721" operator="containsText" text="PENDIENTE">
      <formula>NOT(ISERROR(SEARCH("PENDIENTE",Q50)))</formula>
    </cfRule>
    <cfRule type="containsText" dxfId="5234" priority="1712" operator="containsText" text="PRIORIDAD">
      <formula>NOT(ISERROR(SEARCH("PRIORIDAD",Q50)))</formula>
    </cfRule>
    <cfRule type="containsText" dxfId="5233" priority="1713" operator="containsText" text="ENTREGADO">
      <formula>NOT(ISERROR(SEARCH("ENTREGADO",Q50)))</formula>
    </cfRule>
    <cfRule type="containsText" dxfId="5232" priority="1714" operator="containsText" text="PENDIENTE">
      <formula>NOT(ISERROR(SEARCH("PENDIENTE",Q50)))</formula>
    </cfRule>
    <cfRule type="containsText" dxfId="5231" priority="1716" operator="containsText" text="ENTREGADO">
      <formula>NOT(ISERROR(SEARCH("ENTREGADO",Q50)))</formula>
    </cfRule>
    <cfRule type="containsText" dxfId="5230" priority="1717" operator="containsText" text="PRIORIDAD">
      <formula>NOT(ISERROR(SEARCH("PRIORIDAD",Q50)))</formula>
    </cfRule>
    <cfRule type="containsText" dxfId="5229" priority="1718" operator="containsText" text="ENTREGADO">
      <formula>NOT(ISERROR(SEARCH("ENTREGADO",Q50)))</formula>
    </cfRule>
    <cfRule type="containsText" dxfId="5228" priority="1723" operator="containsText" text="ENTREGADO">
      <formula>NOT(ISERROR(SEARCH("ENTREGADO",Q50)))</formula>
    </cfRule>
    <cfRule type="containsText" dxfId="5227" priority="1720" operator="containsText" text="ENTREGADO">
      <formula>NOT(ISERROR(SEARCH("ENTREGADO",Q50)))</formula>
    </cfRule>
    <cfRule type="containsText" dxfId="5226" priority="1715" operator="containsText" text="PRIORIDAD">
      <formula>NOT(ISERROR(SEARCH("PRIORIDAD",Q50)))</formula>
    </cfRule>
    <cfRule type="containsText" dxfId="5225" priority="1708" operator="containsText" text="PRIORIDAD">
      <formula>NOT(ISERROR(SEARCH("PRIORIDAD",Q50)))</formula>
    </cfRule>
    <cfRule type="containsText" dxfId="5224" priority="1711" operator="containsText" text="ENTREGADO">
      <formula>NOT(ISERROR(SEARCH("ENTREGADO",Q50)))</formula>
    </cfRule>
    <cfRule type="containsText" dxfId="5223" priority="1710" operator="containsText" text="PRIORIDAD">
      <formula>NOT(ISERROR(SEARCH("PRIORIDAD",Q50)))</formula>
    </cfRule>
    <cfRule type="containsText" dxfId="5222" priority="1709" operator="containsText" text="ENTREGADO">
      <formula>NOT(ISERROR(SEARCH("ENTREGADO",Q50)))</formula>
    </cfRule>
  </conditionalFormatting>
  <conditionalFormatting sqref="Q51">
    <cfRule type="containsText" dxfId="5221" priority="10852" operator="containsText" text="PRIORIDAD">
      <formula>NOT(ISERROR(SEARCH("PRIORIDAD",Q51)))</formula>
    </cfRule>
    <cfRule type="containsText" dxfId="5220" priority="10853" operator="containsText" text="ENTREGADO">
      <formula>NOT(ISERROR(SEARCH("ENTREGADO",Q51)))</formula>
    </cfRule>
    <cfRule type="containsText" dxfId="5219" priority="10855" operator="containsText" text="ENTREGADO">
      <formula>NOT(ISERROR(SEARCH("ENTREGADO",Q51)))</formula>
    </cfRule>
  </conditionalFormatting>
  <conditionalFormatting sqref="Q51:Q53">
    <cfRule type="containsText" dxfId="5218" priority="10847" operator="containsText" text="PRIORIDAD">
      <formula>NOT(ISERROR(SEARCH("PRIORIDAD",Q51)))</formula>
    </cfRule>
    <cfRule type="containsText" dxfId="5217" priority="10854" operator="containsText" text="PRIORIDAD">
      <formula>NOT(ISERROR(SEARCH("PRIORIDAD",Q51)))</formula>
    </cfRule>
    <cfRule type="containsText" dxfId="5216" priority="10848" operator="containsText" text="ENTREGADO">
      <formula>NOT(ISERROR(SEARCH("ENTREGADO",Q51)))</formula>
    </cfRule>
  </conditionalFormatting>
  <conditionalFormatting sqref="Q52:Q53 Q57">
    <cfRule type="containsText" dxfId="5215" priority="10849" operator="containsText" text="PENDIENTE">
      <formula>NOT(ISERROR(SEARCH("PENDIENTE",Q52)))</formula>
    </cfRule>
  </conditionalFormatting>
  <conditionalFormatting sqref="Q52:Q53">
    <cfRule type="containsText" dxfId="5214" priority="7055" operator="containsText" text="ENTREGADO">
      <formula>NOT(ISERROR(SEARCH("ENTREGADO",Q52)))</formula>
    </cfRule>
    <cfRule type="containsText" dxfId="5213" priority="7054" operator="containsText" text="PRIORIDAD">
      <formula>NOT(ISERROR(SEARCH("PRIORIDAD",Q52)))</formula>
    </cfRule>
    <cfRule type="containsText" dxfId="5212" priority="7053" operator="containsText" text="ENTREGADO">
      <formula>NOT(ISERROR(SEARCH("ENTREGADO",Q52)))</formula>
    </cfRule>
    <cfRule type="containsText" dxfId="5211" priority="7052" operator="containsText" text="PRIORIDAD">
      <formula>NOT(ISERROR(SEARCH("PRIORIDAD",Q52)))</formula>
    </cfRule>
    <cfRule type="containsText" dxfId="5210" priority="1701" operator="containsText" text="PRIORIDAD">
      <formula>NOT(ISERROR(SEARCH("PRIORIDAD",Q52)))</formula>
    </cfRule>
    <cfRule type="containsText" dxfId="5209" priority="10845" operator="containsText" text="PRIORIDAD">
      <formula>NOT(ISERROR(SEARCH("PRIORIDAD",Q52)))</formula>
    </cfRule>
    <cfRule type="containsText" dxfId="5208" priority="270" operator="containsText" text="PRIORIDAD">
      <formula>NOT(ISERROR(SEARCH("PRIORIDAD",Q52)))</formula>
    </cfRule>
    <cfRule type="containsText" dxfId="5207" priority="271" operator="containsText" text="ENTREGADO">
      <formula>NOT(ISERROR(SEARCH("ENTREGADO",Q52)))</formula>
    </cfRule>
    <cfRule type="containsText" dxfId="5206" priority="272" operator="containsText" text="PRIORIDAD">
      <formula>NOT(ISERROR(SEARCH("PRIORIDAD",Q52)))</formula>
    </cfRule>
    <cfRule type="containsText" dxfId="5205" priority="10843" operator="containsText" text="PRIORIDAD">
      <formula>NOT(ISERROR(SEARCH("PRIORIDAD",Q52)))</formula>
    </cfRule>
    <cfRule type="containsText" dxfId="5204" priority="273" operator="containsText" text="ENTREGADO">
      <formula>NOT(ISERROR(SEARCH("ENTREGADO",Q52)))</formula>
    </cfRule>
    <cfRule type="containsText" dxfId="5203" priority="274" operator="containsText" text="PRIORIDAD">
      <formula>NOT(ISERROR(SEARCH("PRIORIDAD",Q52)))</formula>
    </cfRule>
    <cfRule type="containsText" dxfId="5202" priority="10846" operator="containsText" text="ENTREGADO">
      <formula>NOT(ISERROR(SEARCH("ENTREGADO",Q52)))</formula>
    </cfRule>
    <cfRule type="containsText" dxfId="5201" priority="275" operator="containsText" text="ENTREGADO">
      <formula>NOT(ISERROR(SEARCH("ENTREGADO",Q52)))</formula>
    </cfRule>
    <cfRule type="containsText" dxfId="5200" priority="276" operator="containsText" text="PENDIENTE">
      <formula>NOT(ISERROR(SEARCH("PENDIENTE",Q52)))</formula>
    </cfRule>
    <cfRule type="containsText" dxfId="5199" priority="10844" operator="containsText" text="ENTREGADO">
      <formula>NOT(ISERROR(SEARCH("ENTREGADO",Q52)))</formula>
    </cfRule>
    <cfRule type="containsText" dxfId="5198" priority="7056" operator="containsText" text="PENDIENTE">
      <formula>NOT(ISERROR(SEARCH("PENDIENTE",Q52)))</formula>
    </cfRule>
    <cfRule type="containsText" dxfId="5197" priority="1707" operator="containsText" text="PENDIENTE">
      <formula>NOT(ISERROR(SEARCH("PENDIENTE",Q52)))</formula>
    </cfRule>
    <cfRule type="containsText" dxfId="5196" priority="1706" operator="containsText" text="ENTREGADO">
      <formula>NOT(ISERROR(SEARCH("ENTREGADO",Q52)))</formula>
    </cfRule>
    <cfRule type="containsText" dxfId="5195" priority="1705" operator="containsText" text="PRIORIDAD">
      <formula>NOT(ISERROR(SEARCH("PRIORIDAD",Q52)))</formula>
    </cfRule>
    <cfRule type="containsText" dxfId="5194" priority="1704" operator="containsText" text="ENTREGADO">
      <formula>NOT(ISERROR(SEARCH("ENTREGADO",Q52)))</formula>
    </cfRule>
    <cfRule type="containsText" dxfId="5193" priority="1703" operator="containsText" text="PRIORIDAD">
      <formula>NOT(ISERROR(SEARCH("PRIORIDAD",Q52)))</formula>
    </cfRule>
    <cfRule type="containsText" dxfId="5192" priority="1702" operator="containsText" text="ENTREGADO">
      <formula>NOT(ISERROR(SEARCH("ENTREGADO",Q52)))</formula>
    </cfRule>
  </conditionalFormatting>
  <conditionalFormatting sqref="Q53">
    <cfRule type="containsText" dxfId="5191" priority="215" operator="containsText" text="PRIORIDAD">
      <formula>NOT(ISERROR(SEARCH("PRIORIDAD",Q53)))</formula>
    </cfRule>
    <cfRule type="containsText" dxfId="5190" priority="212" operator="containsText" text="ENTREGADO">
      <formula>NOT(ISERROR(SEARCH("ENTREGADO",Q53)))</formula>
    </cfRule>
    <cfRule type="containsText" dxfId="5189" priority="213" operator="containsText" text="PRIORIDAD">
      <formula>NOT(ISERROR(SEARCH("PRIORIDAD",Q53)))</formula>
    </cfRule>
    <cfRule type="containsText" dxfId="5188" priority="214" operator="containsText" text="ENTREGADO">
      <formula>NOT(ISERROR(SEARCH("ENTREGADO",Q53)))</formula>
    </cfRule>
    <cfRule type="containsText" dxfId="5187" priority="211" operator="containsText" text="PRIORIDAD">
      <formula>NOT(ISERROR(SEARCH("PRIORIDAD",Q53)))</formula>
    </cfRule>
  </conditionalFormatting>
  <conditionalFormatting sqref="Q54">
    <cfRule type="containsText" dxfId="5186" priority="7421" operator="containsText" text="ENTREGADO">
      <formula>NOT(ISERROR(SEARCH("ENTREGADO",Q54)))</formula>
    </cfRule>
    <cfRule type="containsText" dxfId="5185" priority="7420" operator="containsText" text="PRIORIDAD">
      <formula>NOT(ISERROR(SEARCH("PRIORIDAD",Q54)))</formula>
    </cfRule>
    <cfRule type="containsText" dxfId="5184" priority="7422" operator="containsText" text="PRIORIDAD">
      <formula>NOT(ISERROR(SEARCH("PRIORIDAD",Q54)))</formula>
    </cfRule>
    <cfRule type="containsText" dxfId="5183" priority="7423" operator="containsText" text="ENTREGADO">
      <formula>NOT(ISERROR(SEARCH("ENTREGADO",Q54)))</formula>
    </cfRule>
    <cfRule type="containsText" dxfId="5182" priority="7424" operator="containsText" text="PRIORIDAD">
      <formula>NOT(ISERROR(SEARCH("PRIORIDAD",Q54)))</formula>
    </cfRule>
  </conditionalFormatting>
  <conditionalFormatting sqref="Q55">
    <cfRule type="containsText" dxfId="5181" priority="516" operator="containsText" text="PRIORIDAD">
      <formula>NOT(ISERROR(SEARCH("PRIORIDAD",Q55)))</formula>
    </cfRule>
    <cfRule type="containsText" dxfId="5180" priority="518" operator="containsText" text="PRIORIDAD">
      <formula>NOT(ISERROR(SEARCH("PRIORIDAD",Q55)))</formula>
    </cfRule>
    <cfRule type="containsText" dxfId="5179" priority="519" operator="containsText" text="ENTREGADO">
      <formula>NOT(ISERROR(SEARCH("ENTREGADO",Q55)))</formula>
    </cfRule>
    <cfRule type="containsText" dxfId="5178" priority="520" operator="containsText" text="PRIORIDAD">
      <formula>NOT(ISERROR(SEARCH("PRIORIDAD",Q55)))</formula>
    </cfRule>
    <cfRule type="containsText" dxfId="5177" priority="521" operator="containsText" text="ENTREGADO">
      <formula>NOT(ISERROR(SEARCH("ENTREGADO",Q55)))</formula>
    </cfRule>
    <cfRule type="containsText" dxfId="5176" priority="579" operator="containsText" text="ENTREGADO">
      <formula>NOT(ISERROR(SEARCH("ENTREGADO",Q55)))</formula>
    </cfRule>
    <cfRule type="containsText" dxfId="5175" priority="522" operator="containsText" text="PENDIENTE">
      <formula>NOT(ISERROR(SEARCH("PENDIENTE",Q55)))</formula>
    </cfRule>
    <cfRule type="containsText" dxfId="5174" priority="576" operator="containsText" text="PRIORIDAD">
      <formula>NOT(ISERROR(SEARCH("PRIORIDAD",Q55)))</formula>
    </cfRule>
    <cfRule type="containsText" dxfId="5173" priority="577" operator="containsText" text="ENTREGADO">
      <formula>NOT(ISERROR(SEARCH("ENTREGADO",Q55)))</formula>
    </cfRule>
    <cfRule type="containsText" dxfId="5172" priority="578" operator="containsText" text="PRIORIDAD">
      <formula>NOT(ISERROR(SEARCH("PRIORIDAD",Q55)))</formula>
    </cfRule>
    <cfRule type="containsText" dxfId="5171" priority="580" operator="containsText" text="PENDIENTE">
      <formula>NOT(ISERROR(SEARCH("PENDIENTE",Q55)))</formula>
    </cfRule>
    <cfRule type="containsText" dxfId="5170" priority="608" operator="containsText" text="PRIORIDAD">
      <formula>NOT(ISERROR(SEARCH("PRIORIDAD",Q55)))</formula>
    </cfRule>
    <cfRule type="containsText" dxfId="5169" priority="609" operator="containsText" text="ENTREGADO">
      <formula>NOT(ISERROR(SEARCH("ENTREGADO",Q55)))</formula>
    </cfRule>
    <cfRule type="containsText" dxfId="5168" priority="610" operator="containsText" text="PRIORIDAD">
      <formula>NOT(ISERROR(SEARCH("PRIORIDAD",Q55)))</formula>
    </cfRule>
    <cfRule type="containsText" dxfId="5167" priority="611" operator="containsText" text="ENTREGADO">
      <formula>NOT(ISERROR(SEARCH("ENTREGADO",Q55)))</formula>
    </cfRule>
    <cfRule type="containsText" dxfId="5166" priority="612" operator="containsText" text="PRIORIDAD">
      <formula>NOT(ISERROR(SEARCH("PRIORIDAD",Q55)))</formula>
    </cfRule>
    <cfRule type="containsText" dxfId="5165" priority="613" operator="containsText" text="ENTREGADO">
      <formula>NOT(ISERROR(SEARCH("ENTREGADO",Q55)))</formula>
    </cfRule>
    <cfRule type="containsText" dxfId="5164" priority="614" operator="containsText" text="PENDIENTE">
      <formula>NOT(ISERROR(SEARCH("PENDIENTE",Q55)))</formula>
    </cfRule>
    <cfRule type="containsText" dxfId="5163" priority="517" operator="containsText" text="ENTREGADO">
      <formula>NOT(ISERROR(SEARCH("ENTREGADO",Q55)))</formula>
    </cfRule>
  </conditionalFormatting>
  <conditionalFormatting sqref="Q56">
    <cfRule type="containsText" dxfId="5162" priority="6928" operator="containsText" text="ENTREGADO">
      <formula>NOT(ISERROR(SEARCH("ENTREGADO",Q56)))</formula>
    </cfRule>
    <cfRule type="containsText" dxfId="5161" priority="6929" operator="containsText" text="PRIORIDAD">
      <formula>NOT(ISERROR(SEARCH("PRIORIDAD",Q56)))</formula>
    </cfRule>
    <cfRule type="containsText" dxfId="5160" priority="6931" operator="containsText" text="PRIORIDAD">
      <formula>NOT(ISERROR(SEARCH("PRIORIDAD",Q56)))</formula>
    </cfRule>
    <cfRule type="containsText" dxfId="5159" priority="6966" operator="containsText" text="PRIORIDAD">
      <formula>NOT(ISERROR(SEARCH("PRIORIDAD",Q56)))</formula>
    </cfRule>
    <cfRule type="containsText" dxfId="5158" priority="6967" operator="containsText" text="ENTREGADO">
      <formula>NOT(ISERROR(SEARCH("ENTREGADO",Q56)))</formula>
    </cfRule>
    <cfRule type="containsText" dxfId="5157" priority="6964" operator="containsText" text="PRIORIDAD">
      <formula>NOT(ISERROR(SEARCH("PRIORIDAD",Q56)))</formula>
    </cfRule>
    <cfRule type="containsText" dxfId="5156" priority="6927" operator="containsText" text="PRIORIDAD">
      <formula>NOT(ISERROR(SEARCH("PRIORIDAD",Q56)))</formula>
    </cfRule>
    <cfRule type="containsText" dxfId="5155" priority="6930" operator="containsText" text="ENTREGADO">
      <formula>NOT(ISERROR(SEARCH("ENTREGADO",Q56)))</formula>
    </cfRule>
    <cfRule type="containsText" dxfId="5154" priority="6932" operator="containsText" text="ENTREGADO">
      <formula>NOT(ISERROR(SEARCH("ENTREGADO",Q56)))</formula>
    </cfRule>
    <cfRule type="containsText" dxfId="5153" priority="6933" operator="containsText" text="PENDIENTE">
      <formula>NOT(ISERROR(SEARCH("PENDIENTE",Q56)))</formula>
    </cfRule>
    <cfRule type="containsText" dxfId="5152" priority="6965" operator="containsText" text="ENTREGADO">
      <formula>NOT(ISERROR(SEARCH("ENTREGADO",Q56)))</formula>
    </cfRule>
    <cfRule type="containsText" dxfId="5151" priority="6970" operator="containsText" text="PENDIENTE">
      <formula>NOT(ISERROR(SEARCH("PENDIENTE",Q56)))</formula>
    </cfRule>
  </conditionalFormatting>
  <conditionalFormatting sqref="Q57">
    <cfRule type="containsText" dxfId="5150" priority="304" operator="containsText" text="ENTREGADO">
      <formula>NOT(ISERROR(SEARCH("ENTREGADO",Q57)))</formula>
    </cfRule>
    <cfRule type="containsText" dxfId="5149" priority="305" operator="containsText" text="PRIORIDAD">
      <formula>NOT(ISERROR(SEARCH("PRIORIDAD",Q57)))</formula>
    </cfRule>
    <cfRule type="containsText" dxfId="5148" priority="307" operator="containsText" text="PENDIENTE">
      <formula>NOT(ISERROR(SEARCH("PENDIENTE",Q57)))</formula>
    </cfRule>
    <cfRule type="containsText" dxfId="5147" priority="308" operator="containsText" text="PRIORIDAD">
      <formula>NOT(ISERROR(SEARCH("PRIORIDAD",Q57)))</formula>
    </cfRule>
    <cfRule type="containsText" dxfId="5146" priority="309" operator="containsText" text="ENTREGADO">
      <formula>NOT(ISERROR(SEARCH("ENTREGADO",Q57)))</formula>
    </cfRule>
    <cfRule type="containsText" dxfId="5145" priority="310" operator="containsText" text="PRIORIDAD">
      <formula>NOT(ISERROR(SEARCH("PRIORIDAD",Q57)))</formula>
    </cfRule>
    <cfRule type="containsText" dxfId="5144" priority="315" operator="containsText" text="ENTREGADO">
      <formula>NOT(ISERROR(SEARCH("ENTREGADO",Q57)))</formula>
    </cfRule>
    <cfRule type="containsText" dxfId="5143" priority="303" operator="containsText" text="PRIORIDAD">
      <formula>NOT(ISERROR(SEARCH("PRIORIDAD",Q57)))</formula>
    </cfRule>
    <cfRule type="containsText" dxfId="5142" priority="311" operator="containsText" text="ENTREGADO">
      <formula>NOT(ISERROR(SEARCH("ENTREGADO",Q57)))</formula>
    </cfRule>
    <cfRule type="containsText" dxfId="5141" priority="301" operator="containsText" text="PRIORIDAD">
      <formula>NOT(ISERROR(SEARCH("PRIORIDAD",Q57)))</formula>
    </cfRule>
    <cfRule type="containsText" dxfId="5140" priority="313" operator="containsText" text="ENTREGADO">
      <formula>NOT(ISERROR(SEARCH("ENTREGADO",Q57)))</formula>
    </cfRule>
    <cfRule type="containsText" dxfId="5139" priority="312" operator="containsText" text="PRIORIDAD">
      <formula>NOT(ISERROR(SEARCH("PRIORIDAD",Q57)))</formula>
    </cfRule>
    <cfRule type="containsText" dxfId="5138" priority="314" operator="containsText" text="PENDIENTE">
      <formula>NOT(ISERROR(SEARCH("PENDIENTE",Q57)))</formula>
    </cfRule>
    <cfRule type="containsText" dxfId="5137" priority="306" operator="containsText" text="ENTREGADO">
      <formula>NOT(ISERROR(SEARCH("ENTREGADO",Q57)))</formula>
    </cfRule>
    <cfRule type="containsText" dxfId="5136" priority="302" operator="containsText" text="ENTREGADO">
      <formula>NOT(ISERROR(SEARCH("ENTREGADO",Q57)))</formula>
    </cfRule>
  </conditionalFormatting>
  <conditionalFormatting sqref="Q59">
    <cfRule type="containsText" dxfId="5135" priority="118" operator="containsText" text="ENTREGADO">
      <formula>NOT(ISERROR(SEARCH("ENTREGADO",Q59)))</formula>
    </cfRule>
    <cfRule type="containsText" dxfId="5134" priority="119" operator="containsText" text="PRIORIDAD">
      <formula>NOT(ISERROR(SEARCH("PRIORIDAD",Q59)))</formula>
    </cfRule>
    <cfRule type="containsText" dxfId="5133" priority="120" operator="containsText" text="ENTREGADO">
      <formula>NOT(ISERROR(SEARCH("ENTREGADO",Q59)))</formula>
    </cfRule>
    <cfRule type="containsText" dxfId="5132" priority="121" operator="containsText" text="PRIORIDAD">
      <formula>NOT(ISERROR(SEARCH("PRIORIDAD",Q59)))</formula>
    </cfRule>
    <cfRule type="containsText" dxfId="5131" priority="122" operator="containsText" text="ENTREGADO">
      <formula>NOT(ISERROR(SEARCH("ENTREGADO",Q59)))</formula>
    </cfRule>
    <cfRule type="containsText" dxfId="5130" priority="123" operator="containsText" text="PENDIENTE">
      <formula>NOT(ISERROR(SEARCH("PENDIENTE",Q59)))</formula>
    </cfRule>
    <cfRule type="containsText" dxfId="5129" priority="124" operator="containsText" text="PRIORIDAD">
      <formula>NOT(ISERROR(SEARCH("PRIORIDAD",Q59)))</formula>
    </cfRule>
    <cfRule type="containsText" dxfId="5128" priority="125" operator="containsText" text="ENTREGADO">
      <formula>NOT(ISERROR(SEARCH("ENTREGADO",Q59)))</formula>
    </cfRule>
    <cfRule type="containsText" dxfId="5127" priority="126" operator="containsText" text="PRIORIDAD">
      <formula>NOT(ISERROR(SEARCH("PRIORIDAD",Q59)))</formula>
    </cfRule>
    <cfRule type="containsText" dxfId="5126" priority="127" operator="containsText" text="ENTREGADO">
      <formula>NOT(ISERROR(SEARCH("ENTREGADO",Q59)))</formula>
    </cfRule>
    <cfRule type="containsText" dxfId="5125" priority="128" operator="containsText" text="PRIORIDAD">
      <formula>NOT(ISERROR(SEARCH("PRIORIDAD",Q59)))</formula>
    </cfRule>
    <cfRule type="containsText" dxfId="5124" priority="129" operator="containsText" text="ENTREGADO">
      <formula>NOT(ISERROR(SEARCH("ENTREGADO",Q59)))</formula>
    </cfRule>
    <cfRule type="containsText" dxfId="5123" priority="130" operator="containsText" text="PENDIENTE">
      <formula>NOT(ISERROR(SEARCH("PENDIENTE",Q59)))</formula>
    </cfRule>
    <cfRule type="containsText" dxfId="5122" priority="131" operator="containsText" text="ENTREGADO">
      <formula>NOT(ISERROR(SEARCH("ENTREGADO",Q59)))</formula>
    </cfRule>
    <cfRule type="containsText" dxfId="5121" priority="132" operator="containsText" text="ENTREGADO">
      <formula>NOT(ISERROR(SEARCH("ENTREGADO",Q59)))</formula>
    </cfRule>
    <cfRule type="containsText" dxfId="5120" priority="133" operator="containsText" text="PENDIENTE">
      <formula>NOT(ISERROR(SEARCH("PENDIENTE",Q59)))</formula>
    </cfRule>
    <cfRule type="containsText" dxfId="5119" priority="134" operator="containsText" text="PRIORIDAD">
      <formula>NOT(ISERROR(SEARCH("PRIORIDAD",Q59)))</formula>
    </cfRule>
    <cfRule type="containsText" dxfId="5118" priority="117" operator="containsText" text="PRIORIDAD">
      <formula>NOT(ISERROR(SEARCH("PRIORIDAD",Q59)))</formula>
    </cfRule>
    <cfRule type="containsText" dxfId="5117" priority="1698" operator="containsText" text="ENTREGADO">
      <formula>NOT(ISERROR(SEARCH("ENTREGADO",Q59)))</formula>
    </cfRule>
    <cfRule type="containsText" dxfId="5116" priority="1699" operator="containsText" text="PENDIENTE">
      <formula>NOT(ISERROR(SEARCH("PENDIENTE",Q59)))</formula>
    </cfRule>
    <cfRule type="containsText" dxfId="5115" priority="1700" operator="containsText" text="PRIORIDAD">
      <formula>NOT(ISERROR(SEARCH("PRIORIDAD",Q59)))</formula>
    </cfRule>
  </conditionalFormatting>
  <conditionalFormatting sqref="Q62">
    <cfRule type="containsText" dxfId="5114" priority="10132" operator="containsText" text="PRIORIDAD">
      <formula>NOT(ISERROR(SEARCH("PRIORIDAD",Q62)))</formula>
    </cfRule>
    <cfRule type="containsText" dxfId="5113" priority="10133" operator="containsText" text="ENTREGADO">
      <formula>NOT(ISERROR(SEARCH("ENTREGADO",Q62)))</formula>
    </cfRule>
    <cfRule type="containsText" dxfId="5112" priority="5044" operator="containsText" text="PENDIENTE">
      <formula>NOT(ISERROR(SEARCH("PENDIENTE",Q62)))</formula>
    </cfRule>
    <cfRule type="containsText" dxfId="5111" priority="5043" operator="containsText" text="ENTREGADO">
      <formula>NOT(ISERROR(SEARCH("ENTREGADO",Q62)))</formula>
    </cfRule>
    <cfRule type="containsText" dxfId="5110" priority="10134" operator="containsText" text="PENDIENTE">
      <formula>NOT(ISERROR(SEARCH("PENDIENTE",Q62)))</formula>
    </cfRule>
    <cfRule type="containsText" dxfId="5109" priority="10128" operator="containsText" text="PRIORIDAD">
      <formula>NOT(ISERROR(SEARCH("PRIORIDAD",Q62)))</formula>
    </cfRule>
    <cfRule type="containsText" dxfId="5108" priority="10129" operator="containsText" text="ENTREGADO">
      <formula>NOT(ISERROR(SEARCH("ENTREGADO",Q62)))</formula>
    </cfRule>
    <cfRule type="containsText" dxfId="5107" priority="10130" operator="containsText" text="PRIORIDAD">
      <formula>NOT(ISERROR(SEARCH("PRIORIDAD",Q62)))</formula>
    </cfRule>
    <cfRule type="containsText" dxfId="5106" priority="10131" operator="containsText" text="ENTREGADO">
      <formula>NOT(ISERROR(SEARCH("ENTREGADO",Q62)))</formula>
    </cfRule>
  </conditionalFormatting>
  <conditionalFormatting sqref="Q62:Q63">
    <cfRule type="containsText" dxfId="5105" priority="6828" operator="containsText" text="PRIORIDAD">
      <formula>NOT(ISERROR(SEARCH("PRIORIDAD",Q62)))</formula>
    </cfRule>
  </conditionalFormatting>
  <conditionalFormatting sqref="Q63">
    <cfRule type="containsText" dxfId="5104" priority="6830" operator="containsText" text="PENDIENTE">
      <formula>NOT(ISERROR(SEARCH("PENDIENTE",Q63)))</formula>
    </cfRule>
    <cfRule type="containsText" dxfId="5103" priority="6824" operator="containsText" text="PRIORIDAD">
      <formula>NOT(ISERROR(SEARCH("PRIORIDAD",Q63)))</formula>
    </cfRule>
    <cfRule type="containsText" dxfId="5102" priority="6825" operator="containsText" text="ENTREGADO">
      <formula>NOT(ISERROR(SEARCH("ENTREGADO",Q63)))</formula>
    </cfRule>
    <cfRule type="containsText" dxfId="5101" priority="6826" operator="containsText" text="PRIORIDAD">
      <formula>NOT(ISERROR(SEARCH("PRIORIDAD",Q63)))</formula>
    </cfRule>
    <cfRule type="containsText" dxfId="5100" priority="6827" operator="containsText" text="ENTREGADO">
      <formula>NOT(ISERROR(SEARCH("ENTREGADO",Q63)))</formula>
    </cfRule>
    <cfRule type="containsText" dxfId="5099" priority="6829" operator="containsText" text="ENTREGADO">
      <formula>NOT(ISERROR(SEARCH("ENTREGADO",Q63)))</formula>
    </cfRule>
  </conditionalFormatting>
  <conditionalFormatting sqref="Q63:Q67">
    <cfRule type="containsText" dxfId="5098" priority="6819" operator="containsText" text="PRIORIDAD">
      <formula>NOT(ISERROR(SEARCH("PRIORIDAD",Q63)))</formula>
    </cfRule>
  </conditionalFormatting>
  <conditionalFormatting sqref="Q63:Q69">
    <cfRule type="containsText" dxfId="5097" priority="6820" operator="containsText" text="ENTREGADO">
      <formula>NOT(ISERROR(SEARCH("ENTREGADO",Q63)))</formula>
    </cfRule>
  </conditionalFormatting>
  <conditionalFormatting sqref="Q64:Q67">
    <cfRule type="containsText" dxfId="5096" priority="6821" operator="containsText" text="PENDIENTE">
      <formula>NOT(ISERROR(SEARCH("PENDIENTE",Q64)))</formula>
    </cfRule>
    <cfRule type="containsText" dxfId="5095" priority="6818" operator="containsText" text="ENTREGADO">
      <formula>NOT(ISERROR(SEARCH("ENTREGADO",Q64)))</formula>
    </cfRule>
    <cfRule type="containsText" dxfId="5094" priority="6817" operator="containsText" text="PRIORIDAD">
      <formula>NOT(ISERROR(SEARCH("PRIORIDAD",Q64)))</formula>
    </cfRule>
    <cfRule type="containsText" dxfId="5093" priority="6814" operator="containsText" text="ENTREGADO">
      <formula>NOT(ISERROR(SEARCH("ENTREGADO",Q64)))</formula>
    </cfRule>
    <cfRule type="containsText" dxfId="5092" priority="6816" operator="containsText" text="ENTREGADO">
      <formula>NOT(ISERROR(SEARCH("ENTREGADO",Q64)))</formula>
    </cfRule>
    <cfRule type="containsText" dxfId="5091" priority="6815" operator="containsText" text="PRIORIDAD">
      <formula>NOT(ISERROR(SEARCH("PRIORIDAD",Q64)))</formula>
    </cfRule>
  </conditionalFormatting>
  <conditionalFormatting sqref="Q64:Q68">
    <cfRule type="containsText" dxfId="5090" priority="5041" operator="containsText" text="PRIORIDAD">
      <formula>NOT(ISERROR(SEARCH("PRIORIDAD",Q64)))</formula>
    </cfRule>
  </conditionalFormatting>
  <conditionalFormatting sqref="Q65">
    <cfRule type="containsText" dxfId="5089" priority="193" operator="containsText" text="ENTREGADO">
      <formula>NOT(ISERROR(SEARCH("ENTREGADO",Q65)))</formula>
    </cfRule>
    <cfRule type="containsText" dxfId="5088" priority="190" operator="containsText" text="PRIORIDAD">
      <formula>NOT(ISERROR(SEARCH("PRIORIDAD",Q65)))</formula>
    </cfRule>
    <cfRule type="containsText" dxfId="5087" priority="191" operator="containsText" text="ENTREGADO">
      <formula>NOT(ISERROR(SEARCH("ENTREGADO",Q65)))</formula>
    </cfRule>
    <cfRule type="containsText" dxfId="5086" priority="182" operator="containsText" text="ENTREGADO">
      <formula>NOT(ISERROR(SEARCH("ENTREGADO",Q65)))</formula>
    </cfRule>
    <cfRule type="containsText" dxfId="5085" priority="194" operator="containsText" text="PENDIENTE">
      <formula>NOT(ISERROR(SEARCH("PENDIENTE",Q65)))</formula>
    </cfRule>
    <cfRule type="containsText" dxfId="5084" priority="192" operator="containsText" text="PRIORIDAD">
      <formula>NOT(ISERROR(SEARCH("PRIORIDAD",Q65)))</formula>
    </cfRule>
    <cfRule type="containsText" dxfId="5083" priority="181" operator="containsText" text="PRIORIDAD">
      <formula>NOT(ISERROR(SEARCH("PRIORIDAD",Q65)))</formula>
    </cfRule>
    <cfRule type="containsText" dxfId="5082" priority="183" operator="containsText" text="PRIORIDAD">
      <formula>NOT(ISERROR(SEARCH("PRIORIDAD",Q65)))</formula>
    </cfRule>
    <cfRule type="containsText" dxfId="5081" priority="184" operator="containsText" text="ENTREGADO">
      <formula>NOT(ISERROR(SEARCH("ENTREGADO",Q65)))</formula>
    </cfRule>
    <cfRule type="containsText" dxfId="5080" priority="185" operator="containsText" text="PRIORIDAD">
      <formula>NOT(ISERROR(SEARCH("PRIORIDAD",Q65)))</formula>
    </cfRule>
    <cfRule type="containsText" dxfId="5079" priority="186" operator="containsText" text="ENTREGADO">
      <formula>NOT(ISERROR(SEARCH("ENTREGADO",Q65)))</formula>
    </cfRule>
    <cfRule type="containsText" dxfId="5078" priority="187" operator="containsText" text="PENDIENTE">
      <formula>NOT(ISERROR(SEARCH("PENDIENTE",Q65)))</formula>
    </cfRule>
    <cfRule type="containsText" dxfId="5077" priority="188" operator="containsText" text="PRIORIDAD">
      <formula>NOT(ISERROR(SEARCH("PRIORIDAD",Q65)))</formula>
    </cfRule>
    <cfRule type="containsText" dxfId="5076" priority="189" operator="containsText" text="ENTREGADO">
      <formula>NOT(ISERROR(SEARCH("ENTREGADO",Q65)))</formula>
    </cfRule>
  </conditionalFormatting>
  <conditionalFormatting sqref="Q66">
    <cfRule type="containsText" dxfId="5075" priority="170" operator="containsText" text="ENTREGADO">
      <formula>NOT(ISERROR(SEARCH("ENTREGADO",Q66)))</formula>
    </cfRule>
    <cfRule type="containsText" dxfId="5074" priority="160" operator="containsText" text="PRIORIDAD">
      <formula>NOT(ISERROR(SEARCH("PRIORIDAD",Q66)))</formula>
    </cfRule>
    <cfRule type="containsText" dxfId="5073" priority="168" operator="containsText" text="ENTREGADO">
      <formula>NOT(ISERROR(SEARCH("ENTREGADO",Q66)))</formula>
    </cfRule>
    <cfRule type="containsText" dxfId="5072" priority="167" operator="containsText" text="PRIORIDAD">
      <formula>NOT(ISERROR(SEARCH("PRIORIDAD",Q66)))</formula>
    </cfRule>
    <cfRule type="containsText" dxfId="5071" priority="162" operator="containsText" text="PRIORIDAD">
      <formula>NOT(ISERROR(SEARCH("PRIORIDAD",Q66)))</formula>
    </cfRule>
    <cfRule type="containsText" dxfId="5070" priority="161" operator="containsText" text="ENTREGADO">
      <formula>NOT(ISERROR(SEARCH("ENTREGADO",Q66)))</formula>
    </cfRule>
    <cfRule type="containsText" dxfId="5069" priority="164" operator="containsText" text="PENDIENTE">
      <formula>NOT(ISERROR(SEARCH("PENDIENTE",Q66)))</formula>
    </cfRule>
    <cfRule type="containsText" dxfId="5068" priority="165" operator="containsText" text="PRIORIDAD">
      <formula>NOT(ISERROR(SEARCH("PRIORIDAD",Q66)))</formula>
    </cfRule>
    <cfRule type="containsText" dxfId="5067" priority="163" operator="containsText" text="ENTREGADO">
      <formula>NOT(ISERROR(SEARCH("ENTREGADO",Q66)))</formula>
    </cfRule>
    <cfRule type="containsText" dxfId="5066" priority="171" operator="containsText" text="PENDIENTE">
      <formula>NOT(ISERROR(SEARCH("PENDIENTE",Q66)))</formula>
    </cfRule>
    <cfRule type="containsText" dxfId="5065" priority="158" operator="containsText" text="PRIORIDAD">
      <formula>NOT(ISERROR(SEARCH("PRIORIDAD",Q66)))</formula>
    </cfRule>
    <cfRule type="containsText" dxfId="5064" priority="159" operator="containsText" text="ENTREGADO">
      <formula>NOT(ISERROR(SEARCH("ENTREGADO",Q66)))</formula>
    </cfRule>
    <cfRule type="containsText" dxfId="5063" priority="166" operator="containsText" text="ENTREGADO">
      <formula>NOT(ISERROR(SEARCH("ENTREGADO",Q66)))</formula>
    </cfRule>
    <cfRule type="containsText" dxfId="5062" priority="169" operator="containsText" text="PRIORIDAD">
      <formula>NOT(ISERROR(SEARCH("PRIORIDAD",Q66)))</formula>
    </cfRule>
  </conditionalFormatting>
  <conditionalFormatting sqref="Q67">
    <cfRule type="containsText" dxfId="5061" priority="137" operator="containsText" text="PRIORIDAD">
      <formula>NOT(ISERROR(SEARCH("PRIORIDAD",Q67)))</formula>
    </cfRule>
    <cfRule type="containsText" dxfId="5060" priority="138" operator="containsText" text="ENTREGADO">
      <formula>NOT(ISERROR(SEARCH("ENTREGADO",Q67)))</formula>
    </cfRule>
    <cfRule type="containsText" dxfId="5059" priority="139" operator="containsText" text="PRIORIDAD">
      <formula>NOT(ISERROR(SEARCH("PRIORIDAD",Q67)))</formula>
    </cfRule>
    <cfRule type="containsText" dxfId="5058" priority="140" operator="containsText" text="ENTREGADO">
      <formula>NOT(ISERROR(SEARCH("ENTREGADO",Q67)))</formula>
    </cfRule>
    <cfRule type="containsText" dxfId="5057" priority="136" operator="containsText" text="ENTREGADO">
      <formula>NOT(ISERROR(SEARCH("ENTREGADO",Q67)))</formula>
    </cfRule>
    <cfRule type="containsText" dxfId="5056" priority="142" operator="containsText" text="PRIORIDAD">
      <formula>NOT(ISERROR(SEARCH("PRIORIDAD",Q67)))</formula>
    </cfRule>
    <cfRule type="containsText" dxfId="5055" priority="141" operator="containsText" text="PENDIENTE">
      <formula>NOT(ISERROR(SEARCH("PENDIENTE",Q67)))</formula>
    </cfRule>
    <cfRule type="containsText" dxfId="5054" priority="135" operator="containsText" text="PRIORIDAD">
      <formula>NOT(ISERROR(SEARCH("PRIORIDAD",Q67)))</formula>
    </cfRule>
    <cfRule type="containsText" dxfId="5053" priority="143" operator="containsText" text="ENTREGADO">
      <formula>NOT(ISERROR(SEARCH("ENTREGADO",Q67)))</formula>
    </cfRule>
    <cfRule type="containsText" dxfId="5052" priority="145" operator="containsText" text="ENTREGADO">
      <formula>NOT(ISERROR(SEARCH("ENTREGADO",Q67)))</formula>
    </cfRule>
    <cfRule type="containsText" dxfId="5051" priority="148" operator="containsText" text="PENDIENTE">
      <formula>NOT(ISERROR(SEARCH("PENDIENTE",Q67)))</formula>
    </cfRule>
    <cfRule type="containsText" dxfId="5050" priority="147" operator="containsText" text="ENTREGADO">
      <formula>NOT(ISERROR(SEARCH("ENTREGADO",Q67)))</formula>
    </cfRule>
    <cfRule type="containsText" dxfId="5049" priority="146" operator="containsText" text="PRIORIDAD">
      <formula>NOT(ISERROR(SEARCH("PRIORIDAD",Q67)))</formula>
    </cfRule>
    <cfRule type="containsText" dxfId="5048" priority="144" operator="containsText" text="PRIORIDAD">
      <formula>NOT(ISERROR(SEARCH("PRIORIDAD",Q67)))</formula>
    </cfRule>
  </conditionalFormatting>
  <conditionalFormatting sqref="Q68">
    <cfRule type="containsText" dxfId="5047" priority="5040" operator="containsText" text="ENTREGADO">
      <formula>NOT(ISERROR(SEARCH("ENTREGADO",Q68)))</formula>
    </cfRule>
    <cfRule type="containsText" dxfId="5046" priority="5038" operator="containsText" text="ENTREGADO">
      <formula>NOT(ISERROR(SEARCH("ENTREGADO",Q68)))</formula>
    </cfRule>
    <cfRule type="containsText" dxfId="5045" priority="5039" operator="containsText" text="PRIORIDAD">
      <formula>NOT(ISERROR(SEARCH("PRIORIDAD",Q68)))</formula>
    </cfRule>
    <cfRule type="containsText" dxfId="5044" priority="5037" operator="containsText" text="PRIORIDAD">
      <formula>NOT(ISERROR(SEARCH("PRIORIDAD",Q68)))</formula>
    </cfRule>
    <cfRule type="containsText" dxfId="5043" priority="5042" operator="containsText" text="PENDIENTE">
      <formula>NOT(ISERROR(SEARCH("PENDIENTE",Q68)))</formula>
    </cfRule>
    <cfRule type="containsText" dxfId="5042" priority="5036" operator="containsText" text="ENTREGADO">
      <formula>NOT(ISERROR(SEARCH("ENTREGADO",Q68)))</formula>
    </cfRule>
    <cfRule type="containsText" dxfId="5041" priority="5035" operator="containsText" text="PRIORIDAD">
      <formula>NOT(ISERROR(SEARCH("PRIORIDAD",Q68)))</formula>
    </cfRule>
  </conditionalFormatting>
  <conditionalFormatting sqref="Q70">
    <cfRule type="containsText" dxfId="5040" priority="3612" operator="containsText" text="PENDIENTE">
      <formula>NOT(ISERROR(SEARCH("PENDIENTE",Q70)))</formula>
    </cfRule>
    <cfRule type="containsText" dxfId="5039" priority="3607" operator="containsText" text="ENTREGADO">
      <formula>NOT(ISERROR(SEARCH("ENTREGADO",Q70)))</formula>
    </cfRule>
    <cfRule type="containsText" dxfId="5038" priority="3608" operator="containsText" text="PRIORIDAD">
      <formula>NOT(ISERROR(SEARCH("PRIORIDAD",Q70)))</formula>
    </cfRule>
    <cfRule type="containsText" dxfId="5037" priority="3606" operator="containsText" text="PRIORIDAD">
      <formula>NOT(ISERROR(SEARCH("PRIORIDAD",Q70)))</formula>
    </cfRule>
    <cfRule type="containsText" dxfId="5036" priority="3605" operator="containsText" text="ENTREGADO">
      <formula>NOT(ISERROR(SEARCH("ENTREGADO",Q70)))</formula>
    </cfRule>
    <cfRule type="containsText" dxfId="5035" priority="3610" operator="containsText" text="PRIORIDAD">
      <formula>NOT(ISERROR(SEARCH("PRIORIDAD",Q70)))</formula>
    </cfRule>
    <cfRule type="containsText" dxfId="5034" priority="3609" operator="containsText" text="ENTREGADO">
      <formula>NOT(ISERROR(SEARCH("ENTREGADO",Q70)))</formula>
    </cfRule>
    <cfRule type="containsText" dxfId="5033" priority="3611" operator="containsText" text="ENTREGADO">
      <formula>NOT(ISERROR(SEARCH("ENTREGADO",Q70)))</formula>
    </cfRule>
    <cfRule type="containsText" dxfId="5032" priority="3613" operator="containsText" text="PRIORIDAD">
      <formula>NOT(ISERROR(SEARCH("PRIORIDAD",Q70)))</formula>
    </cfRule>
  </conditionalFormatting>
  <conditionalFormatting sqref="Q71">
    <cfRule type="containsText" dxfId="5031" priority="1693" operator="containsText" text="PRIORIDAD">
      <formula>NOT(ISERROR(SEARCH("PRIORIDAD",Q71)))</formula>
    </cfRule>
    <cfRule type="containsText" dxfId="5030" priority="1692" operator="containsText" text="ENTREGADO">
      <formula>NOT(ISERROR(SEARCH("ENTREGADO",Q71)))</formula>
    </cfRule>
    <cfRule type="containsText" dxfId="5029" priority="1691" operator="containsText" text="PRIORIDAD">
      <formula>NOT(ISERROR(SEARCH("PRIORIDAD",Q71)))</formula>
    </cfRule>
    <cfRule type="containsText" dxfId="5028" priority="1690" operator="containsText" text="ENTREGADO">
      <formula>NOT(ISERROR(SEARCH("ENTREGADO",Q71)))</formula>
    </cfRule>
    <cfRule type="containsText" dxfId="5027" priority="3598" operator="containsText" text="PRIORIDAD">
      <formula>NOT(ISERROR(SEARCH("PRIORIDAD",Q71)))</formula>
    </cfRule>
    <cfRule type="containsText" dxfId="5026" priority="3597" operator="containsText" text="ENTREGADO">
      <formula>NOT(ISERROR(SEARCH("ENTREGADO",Q71)))</formula>
    </cfRule>
    <cfRule type="containsText" dxfId="5025" priority="3599" operator="containsText" text="ENTREGADO">
      <formula>NOT(ISERROR(SEARCH("ENTREGADO",Q71)))</formula>
    </cfRule>
    <cfRule type="containsText" dxfId="5024" priority="3600" operator="containsText" text="PRIORIDAD">
      <formula>NOT(ISERROR(SEARCH("PRIORIDAD",Q71)))</formula>
    </cfRule>
    <cfRule type="containsText" dxfId="5023" priority="3601" operator="containsText" text="ENTREGADO">
      <formula>NOT(ISERROR(SEARCH("ENTREGADO",Q71)))</formula>
    </cfRule>
    <cfRule type="containsText" dxfId="5022" priority="3602" operator="containsText" text="PRIORIDAD">
      <formula>NOT(ISERROR(SEARCH("PRIORIDAD",Q71)))</formula>
    </cfRule>
    <cfRule type="containsText" dxfId="5021" priority="3603" operator="containsText" text="ENTREGADO">
      <formula>NOT(ISERROR(SEARCH("ENTREGADO",Q71)))</formula>
    </cfRule>
    <cfRule type="containsText" dxfId="5020" priority="3604" operator="containsText" text="PENDIENTE">
      <formula>NOT(ISERROR(SEARCH("PENDIENTE",Q71)))</formula>
    </cfRule>
    <cfRule type="containsText" dxfId="5019" priority="8852" operator="containsText" text="PENDIENTE">
      <formula>NOT(ISERROR(SEARCH("PENDIENTE",Q71)))</formula>
    </cfRule>
    <cfRule type="containsText" dxfId="5018" priority="8851" operator="containsText" text="ENTREGADO">
      <formula>NOT(ISERROR(SEARCH("ENTREGADO",Q71)))</formula>
    </cfRule>
    <cfRule type="containsText" dxfId="5017" priority="8850" operator="containsText" text="PRIORIDAD">
      <formula>NOT(ISERROR(SEARCH("PRIORIDAD",Q71)))</formula>
    </cfRule>
    <cfRule type="containsText" dxfId="5016" priority="8849" operator="containsText" text="ENTREGADO">
      <formula>NOT(ISERROR(SEARCH("ENTREGADO",Q71)))</formula>
    </cfRule>
    <cfRule type="containsText" dxfId="5015" priority="8848" operator="containsText" text="PRIORIDAD">
      <formula>NOT(ISERROR(SEARCH("PRIORIDAD",Q71)))</formula>
    </cfRule>
    <cfRule type="containsText" dxfId="5014" priority="1697" operator="containsText" text="PENDIENTE">
      <formula>NOT(ISERROR(SEARCH("PENDIENTE",Q71)))</formula>
    </cfRule>
    <cfRule type="containsText" dxfId="5013" priority="1696" operator="containsText" text="ENTREGADO">
      <formula>NOT(ISERROR(SEARCH("ENTREGADO",Q71)))</formula>
    </cfRule>
    <cfRule type="containsText" dxfId="5012" priority="8847" operator="containsText" text="ENTREGADO">
      <formula>NOT(ISERROR(SEARCH("ENTREGADO",Q71)))</formula>
    </cfRule>
    <cfRule type="containsText" dxfId="5011" priority="8846" operator="containsText" text="PRIORIDAD">
      <formula>NOT(ISERROR(SEARCH("PRIORIDAD",Q71)))</formula>
    </cfRule>
    <cfRule type="containsText" dxfId="5010" priority="8845" operator="containsText" text="ENTREGADO">
      <formula>NOT(ISERROR(SEARCH("ENTREGADO",Q71)))</formula>
    </cfRule>
    <cfRule type="containsText" dxfId="5009" priority="1695" operator="containsText" text="PRIORIDAD">
      <formula>NOT(ISERROR(SEARCH("PRIORIDAD",Q71)))</formula>
    </cfRule>
    <cfRule type="containsText" dxfId="5008" priority="1694" operator="containsText" text="ENTREGADO">
      <formula>NOT(ISERROR(SEARCH("ENTREGADO",Q71)))</formula>
    </cfRule>
  </conditionalFormatting>
  <conditionalFormatting sqref="Q72">
    <cfRule type="containsText" dxfId="5007" priority="1681" operator="containsText" text="ENTREGADO">
      <formula>NOT(ISERROR(SEARCH("ENTREGADO",Q72)))</formula>
    </cfRule>
    <cfRule type="containsText" dxfId="5006" priority="1684" operator="containsText" text="PRIORIDAD">
      <formula>NOT(ISERROR(SEARCH("PRIORIDAD",Q72)))</formula>
    </cfRule>
    <cfRule type="containsText" dxfId="5005" priority="1687" operator="containsText" text="ENTREGADO">
      <formula>NOT(ISERROR(SEARCH("ENTREGADO",Q72)))</formula>
    </cfRule>
    <cfRule type="containsText" dxfId="5004" priority="1689" operator="containsText" text="PRIORIDAD">
      <formula>NOT(ISERROR(SEARCH("PRIORIDAD",Q72)))</formula>
    </cfRule>
    <cfRule type="containsText" dxfId="5003" priority="1682" operator="containsText" text="PRIORIDAD">
      <formula>NOT(ISERROR(SEARCH("PRIORIDAD",Q72)))</formula>
    </cfRule>
    <cfRule type="containsText" dxfId="5002" priority="1686" operator="containsText" text="PRIORIDAD">
      <formula>NOT(ISERROR(SEARCH("PRIORIDAD",Q72)))</formula>
    </cfRule>
    <cfRule type="containsText" dxfId="5001" priority="1683" operator="containsText" text="ENTREGADO">
      <formula>NOT(ISERROR(SEARCH("ENTREGADO",Q72)))</formula>
    </cfRule>
    <cfRule type="containsText" dxfId="5000" priority="1688" operator="containsText" text="PENDIENTE">
      <formula>NOT(ISERROR(SEARCH("PENDIENTE",Q72)))</formula>
    </cfRule>
    <cfRule type="containsText" dxfId="4999" priority="1685" operator="containsText" text="ENTREGADO">
      <formula>NOT(ISERROR(SEARCH("ENTREGADO",Q72)))</formula>
    </cfRule>
  </conditionalFormatting>
  <conditionalFormatting sqref="Q73">
    <cfRule type="containsText" dxfId="4998" priority="6529" operator="containsText" text="ENTREGADO">
      <formula>NOT(ISERROR(SEARCH("ENTREGADO",Q73)))</formula>
    </cfRule>
    <cfRule type="containsText" dxfId="4997" priority="6528" operator="containsText" text="PRIORIDAD">
      <formula>NOT(ISERROR(SEARCH("PRIORIDAD",Q73)))</formula>
    </cfRule>
    <cfRule type="containsText" dxfId="4996" priority="6527" operator="containsText" text="ENTREGADO">
      <formula>NOT(ISERROR(SEARCH("ENTREGADO",Q73)))</formula>
    </cfRule>
    <cfRule type="containsText" dxfId="4995" priority="6526" operator="containsText" text="PRIORIDAD">
      <formula>NOT(ISERROR(SEARCH("PRIORIDAD",Q73)))</formula>
    </cfRule>
  </conditionalFormatting>
  <conditionalFormatting sqref="Q73:Q74">
    <cfRule type="containsText" dxfId="4994" priority="6411" operator="containsText" text="ENTREGADO">
      <formula>NOT(ISERROR(SEARCH("ENTREGADO",Q73)))</formula>
    </cfRule>
    <cfRule type="containsText" dxfId="4993" priority="6530" operator="containsText" text="PRIORIDAD">
      <formula>NOT(ISERROR(SEARCH("PRIORIDAD",Q73)))</formula>
    </cfRule>
    <cfRule type="containsText" dxfId="4992" priority="6410" operator="containsText" text="PRIORIDAD">
      <formula>NOT(ISERROR(SEARCH("PRIORIDAD",Q73)))</formula>
    </cfRule>
  </conditionalFormatting>
  <conditionalFormatting sqref="Q74">
    <cfRule type="containsText" dxfId="4991" priority="6405" operator="containsText" text="ENTREGADO">
      <formula>NOT(ISERROR(SEARCH("ENTREGADO",Q74)))</formula>
    </cfRule>
    <cfRule type="containsText" dxfId="4990" priority="3570" operator="containsText" text="PENDIENTE">
      <formula>NOT(ISERROR(SEARCH("PENDIENTE",Q74)))</formula>
    </cfRule>
    <cfRule type="containsText" dxfId="4989" priority="3568" operator="containsText" text="PRIORIDAD">
      <formula>NOT(ISERROR(SEARCH("PRIORIDAD",Q74)))</formula>
    </cfRule>
    <cfRule type="containsText" dxfId="4988" priority="3567" operator="containsText" text="ENTREGADO">
      <formula>NOT(ISERROR(SEARCH("ENTREGADO",Q74)))</formula>
    </cfRule>
    <cfRule type="containsText" dxfId="4987" priority="3565" operator="containsText" text="ENTREGADO">
      <formula>NOT(ISERROR(SEARCH("ENTREGADO",Q74)))</formula>
    </cfRule>
    <cfRule type="containsText" dxfId="4986" priority="6406" operator="containsText" text="PRIORIDAD">
      <formula>NOT(ISERROR(SEARCH("PRIORIDAD",Q74)))</formula>
    </cfRule>
    <cfRule type="containsText" dxfId="4985" priority="3564" operator="containsText" text="PRIORIDAD">
      <formula>NOT(ISERROR(SEARCH("PRIORIDAD",Q74)))</formula>
    </cfRule>
    <cfRule type="containsText" dxfId="4984" priority="3566" operator="containsText" text="PRIORIDAD">
      <formula>NOT(ISERROR(SEARCH("PRIORIDAD",Q74)))</formula>
    </cfRule>
    <cfRule type="containsText" dxfId="4983" priority="3569" operator="containsText" text="ENTREGADO">
      <formula>NOT(ISERROR(SEARCH("ENTREGADO",Q74)))</formula>
    </cfRule>
    <cfRule type="containsText" dxfId="4982" priority="6408" operator="containsText" text="PRIORIDAD">
      <formula>NOT(ISERROR(SEARCH("PRIORIDAD",Q74)))</formula>
    </cfRule>
    <cfRule type="containsText" dxfId="4981" priority="6407" operator="containsText" text="ENTREGADO">
      <formula>NOT(ISERROR(SEARCH("ENTREGADO",Q74)))</formula>
    </cfRule>
  </conditionalFormatting>
  <conditionalFormatting sqref="Q77">
    <cfRule type="containsText" dxfId="4980" priority="1940" operator="containsText" text="PRIORIDAD">
      <formula>NOT(ISERROR(SEARCH("PRIORIDAD",Q77)))</formula>
    </cfRule>
    <cfRule type="containsText" dxfId="4979" priority="1939" operator="containsText" text="PENDIENTE">
      <formula>NOT(ISERROR(SEARCH("PENDIENTE",Q77)))</formula>
    </cfRule>
    <cfRule type="containsText" dxfId="4978" priority="1938" operator="containsText" text="ENTREGADO">
      <formula>NOT(ISERROR(SEARCH("ENTREGADO",Q77)))</formula>
    </cfRule>
  </conditionalFormatting>
  <conditionalFormatting sqref="Q79">
    <cfRule type="containsText" dxfId="4977" priority="1443" operator="containsText" text="PRIORIDAD">
      <formula>NOT(ISERROR(SEARCH("PRIORIDAD",Q79)))</formula>
    </cfRule>
    <cfRule type="containsText" dxfId="4976" priority="1442" operator="containsText" text="PENDIENTE">
      <formula>NOT(ISERROR(SEARCH("PENDIENTE",Q79)))</formula>
    </cfRule>
    <cfRule type="containsText" dxfId="4975" priority="1441" operator="containsText" text="ENTREGADO">
      <formula>NOT(ISERROR(SEARCH("ENTREGADO",Q79)))</formula>
    </cfRule>
  </conditionalFormatting>
  <conditionalFormatting sqref="Q82">
    <cfRule type="containsText" dxfId="4974" priority="1275" operator="containsText" text="ENTREGADO">
      <formula>NOT(ISERROR(SEARCH("ENTREGADO",Q82)))</formula>
    </cfRule>
    <cfRule type="containsText" dxfId="4973" priority="1276" operator="containsText" text="PENDIENTE">
      <formula>NOT(ISERROR(SEARCH("PENDIENTE",Q82)))</formula>
    </cfRule>
    <cfRule type="containsText" dxfId="4972" priority="1277" operator="containsText" text="PRIORIDAD">
      <formula>NOT(ISERROR(SEARCH("PRIORIDAD",Q82)))</formula>
    </cfRule>
  </conditionalFormatting>
  <conditionalFormatting sqref="Q86">
    <cfRule type="containsText" dxfId="4971" priority="1440" operator="containsText" text="PRIORIDAD">
      <formula>NOT(ISERROR(SEARCH("PRIORIDAD",Q86)))</formula>
    </cfRule>
    <cfRule type="containsText" dxfId="4970" priority="1438" operator="containsText" text="ENTREGADO">
      <formula>NOT(ISERROR(SEARCH("ENTREGADO",Q86)))</formula>
    </cfRule>
    <cfRule type="containsText" dxfId="4969" priority="1439" operator="containsText" text="PENDIENTE">
      <formula>NOT(ISERROR(SEARCH("PENDIENTE",Q86)))</formula>
    </cfRule>
  </conditionalFormatting>
  <conditionalFormatting sqref="Q87">
    <cfRule type="containsText" dxfId="4968" priority="1936" operator="containsText" text="PENDIENTE">
      <formula>NOT(ISERROR(SEARCH("PENDIENTE",Q87)))</formula>
    </cfRule>
    <cfRule type="containsText" dxfId="4967" priority="1937" operator="containsText" text="PRIORIDAD">
      <formula>NOT(ISERROR(SEARCH("PRIORIDAD",Q87)))</formula>
    </cfRule>
    <cfRule type="containsText" dxfId="4966" priority="1935" operator="containsText" text="ENTREGADO">
      <formula>NOT(ISERROR(SEARCH("ENTREGADO",Q87)))</formula>
    </cfRule>
  </conditionalFormatting>
  <conditionalFormatting sqref="Q89">
    <cfRule type="containsText" dxfId="4965" priority="1793" operator="containsText" text="ENTREGADO">
      <formula>NOT(ISERROR(SEARCH("ENTREGADO",Q89)))</formula>
    </cfRule>
    <cfRule type="containsText" dxfId="4964" priority="1794" operator="containsText" text="PENDIENTE">
      <formula>NOT(ISERROR(SEARCH("PENDIENTE",Q89)))</formula>
    </cfRule>
    <cfRule type="containsText" dxfId="4963" priority="1795" operator="containsText" text="PRIORIDAD">
      <formula>NOT(ISERROR(SEARCH("PRIORIDAD",Q89)))</formula>
    </cfRule>
  </conditionalFormatting>
  <conditionalFormatting sqref="Q90">
    <cfRule type="containsText" dxfId="4962" priority="1133" operator="containsText" text="PRIORIDAD">
      <formula>NOT(ISERROR(SEARCH("PRIORIDAD",Q90)))</formula>
    </cfRule>
    <cfRule type="containsText" dxfId="4961" priority="1132" operator="containsText" text="PENDIENTE">
      <formula>NOT(ISERROR(SEARCH("PENDIENTE",Q90)))</formula>
    </cfRule>
    <cfRule type="containsText" dxfId="4960" priority="1131" operator="containsText" text="ENTREGADO">
      <formula>NOT(ISERROR(SEARCH("ENTREGADO",Q90)))</formula>
    </cfRule>
  </conditionalFormatting>
  <conditionalFormatting sqref="Q91">
    <cfRule type="containsText" dxfId="4959" priority="963" operator="containsText" text="PRIORIDAD">
      <formula>NOT(ISERROR(SEARCH("PRIORIDAD",Q91)))</formula>
    </cfRule>
    <cfRule type="containsText" dxfId="4958" priority="962" operator="containsText" text="PENDIENTE">
      <formula>NOT(ISERROR(SEARCH("PENDIENTE",Q91)))</formula>
    </cfRule>
    <cfRule type="containsText" dxfId="4957" priority="961" operator="containsText" text="ENTREGADO">
      <formula>NOT(ISERROR(SEARCH("ENTREGADO",Q91)))</formula>
    </cfRule>
  </conditionalFormatting>
  <conditionalFormatting sqref="Q92">
    <cfRule type="containsText" dxfId="4956" priority="820" operator="containsText" text="ENTREGADO">
      <formula>NOT(ISERROR(SEARCH("ENTREGADO",Q92)))</formula>
    </cfRule>
    <cfRule type="containsText" dxfId="4955" priority="822" operator="containsText" text="PRIORIDAD">
      <formula>NOT(ISERROR(SEARCH("PRIORIDAD",Q92)))</formula>
    </cfRule>
    <cfRule type="containsText" dxfId="4954" priority="821" operator="containsText" text="PENDIENTE">
      <formula>NOT(ISERROR(SEARCH("PENDIENTE",Q92)))</formula>
    </cfRule>
  </conditionalFormatting>
  <conditionalFormatting sqref="Q4:R4">
    <cfRule type="containsText" dxfId="4953" priority="7655" operator="containsText" text="PRIORIDAD">
      <formula>NOT(ISERROR(SEARCH("PRIORIDAD",Q4)))</formula>
    </cfRule>
    <cfRule type="containsText" dxfId="4952" priority="7661" operator="containsText" text="ENTREGADO">
      <formula>NOT(ISERROR(SEARCH("ENTREGADO",Q4)))</formula>
    </cfRule>
  </conditionalFormatting>
  <conditionalFormatting sqref="Q7:R7">
    <cfRule type="containsText" dxfId="4951" priority="7609" operator="containsText" text="PRIORIDAD">
      <formula>NOT(ISERROR(SEARCH("PRIORIDAD",Q7)))</formula>
    </cfRule>
  </conditionalFormatting>
  <conditionalFormatting sqref="Q23:R23">
    <cfRule type="containsText" dxfId="4950" priority="6847" operator="containsText" text="PRIORIDAD">
      <formula>NOT(ISERROR(SEARCH("PRIORIDAD",Q23)))</formula>
    </cfRule>
  </conditionalFormatting>
  <conditionalFormatting sqref="Q24:R24">
    <cfRule type="containsText" dxfId="4949" priority="7537" operator="containsText" text="PRIORIDAD">
      <formula>NOT(ISERROR(SEARCH("PRIORIDAD",Q24)))</formula>
    </cfRule>
  </conditionalFormatting>
  <conditionalFormatting sqref="Q31:R31">
    <cfRule type="containsText" dxfId="4948" priority="7650" operator="containsText" text="ENTREGADO">
      <formula>NOT(ISERROR(SEARCH("ENTREGADO",Q31)))</formula>
    </cfRule>
    <cfRule type="containsText" dxfId="4947" priority="7647" operator="containsText" text="PRIORIDAD">
      <formula>NOT(ISERROR(SEARCH("PRIORIDAD",Q31)))</formula>
    </cfRule>
  </conditionalFormatting>
  <conditionalFormatting sqref="Q34:R34">
    <cfRule type="containsText" dxfId="4946" priority="7710" operator="containsText" text="PRIORIDAD">
      <formula>NOT(ISERROR(SEARCH("PRIORIDAD",Q34)))</formula>
    </cfRule>
  </conditionalFormatting>
  <conditionalFormatting sqref="Q53:R53">
    <cfRule type="containsText" dxfId="4945" priority="217" operator="containsText" text="PENDIENTE">
      <formula>NOT(ISERROR(SEARCH("PENDIENTE",Q53)))</formula>
    </cfRule>
    <cfRule type="containsText" dxfId="4944" priority="216" operator="containsText" text="ENTREGADO">
      <formula>NOT(ISERROR(SEARCH("ENTREGADO",Q53)))</formula>
    </cfRule>
  </conditionalFormatting>
  <conditionalFormatting sqref="Q54:R54">
    <cfRule type="containsText" dxfId="4943" priority="7425" operator="containsText" text="ENTREGADO">
      <formula>NOT(ISERROR(SEARCH("ENTREGADO",Q54)))</formula>
    </cfRule>
    <cfRule type="containsText" dxfId="4942" priority="7426" operator="containsText" text="PENDIENTE">
      <formula>NOT(ISERROR(SEARCH("PENDIENTE",Q54)))</formula>
    </cfRule>
  </conditionalFormatting>
  <conditionalFormatting sqref="Q58:R58">
    <cfRule type="containsText" dxfId="4941" priority="7048" operator="containsText" text="ENTREGADO">
      <formula>NOT(ISERROR(SEARCH("ENTREGADO",Q58)))</formula>
    </cfRule>
    <cfRule type="containsText" dxfId="4940" priority="7049" operator="containsText" text="PENDIENTE">
      <formula>NOT(ISERROR(SEARCH("PENDIENTE",Q58)))</formula>
    </cfRule>
  </conditionalFormatting>
  <conditionalFormatting sqref="Q60:R60">
    <cfRule type="containsText" dxfId="4939" priority="4665" operator="containsText" text="ENTREGADO">
      <formula>NOT(ISERROR(SEARCH("ENTREGADO",Q60)))</formula>
    </cfRule>
    <cfRule type="containsText" dxfId="4938" priority="4666" operator="containsText" text="PENDIENTE">
      <formula>NOT(ISERROR(SEARCH("PENDIENTE",Q60)))</formula>
    </cfRule>
  </conditionalFormatting>
  <conditionalFormatting sqref="Q61:R61">
    <cfRule type="containsText" dxfId="4937" priority="4526" operator="containsText" text="ENTREGADO">
      <formula>NOT(ISERROR(SEARCH("ENTREGADO",Q61)))</formula>
    </cfRule>
    <cfRule type="containsText" dxfId="4936" priority="4527" operator="containsText" text="PENDIENTE">
      <formula>NOT(ISERROR(SEARCH("PENDIENTE",Q61)))</formula>
    </cfRule>
  </conditionalFormatting>
  <conditionalFormatting sqref="Q62:R62">
    <cfRule type="containsText" dxfId="4935" priority="7767" operator="containsText" text="ENTREGADO">
      <formula>NOT(ISERROR(SEARCH("ENTREGADO",Q62)))</formula>
    </cfRule>
  </conditionalFormatting>
  <conditionalFormatting sqref="Q65:R65">
    <cfRule type="containsText" dxfId="4934" priority="203" operator="containsText" text="PRIORIDAD">
      <formula>NOT(ISERROR(SEARCH("PRIORIDAD",Q65)))</formula>
    </cfRule>
  </conditionalFormatting>
  <conditionalFormatting sqref="Q66:R66">
    <cfRule type="containsText" dxfId="4933" priority="180" operator="containsText" text="PRIORIDAD">
      <formula>NOT(ISERROR(SEARCH("PRIORIDAD",Q66)))</formula>
    </cfRule>
  </conditionalFormatting>
  <conditionalFormatting sqref="Q67:R67">
    <cfRule type="containsText" dxfId="4932" priority="157" operator="containsText" text="PRIORIDAD">
      <formula>NOT(ISERROR(SEARCH("PRIORIDAD",Q67)))</formula>
    </cfRule>
  </conditionalFormatting>
  <conditionalFormatting sqref="Q73:R73">
    <cfRule type="containsText" dxfId="4931" priority="6532" operator="containsText" text="PENDIENTE">
      <formula>NOT(ISERROR(SEARCH("PENDIENTE",Q73)))</formula>
    </cfRule>
    <cfRule type="containsText" dxfId="4930" priority="6531" operator="containsText" text="ENTREGADO">
      <formula>NOT(ISERROR(SEARCH("ENTREGADO",Q73)))</formula>
    </cfRule>
  </conditionalFormatting>
  <conditionalFormatting sqref="Q74:R74">
    <cfRule type="containsText" dxfId="4929" priority="6412" operator="containsText" text="PENDIENTE">
      <formula>NOT(ISERROR(SEARCH("PENDIENTE",Q74)))</formula>
    </cfRule>
    <cfRule type="containsText" dxfId="4928" priority="6409" operator="containsText" text="ENTREGADO">
      <formula>NOT(ISERROR(SEARCH("ENTREGADO",Q74)))</formula>
    </cfRule>
  </conditionalFormatting>
  <conditionalFormatting sqref="Q75:R75">
    <cfRule type="containsText" dxfId="4927" priority="4804" operator="containsText" text="ENTREGADO">
      <formula>NOT(ISERROR(SEARCH("ENTREGADO",Q75)))</formula>
    </cfRule>
    <cfRule type="containsText" dxfId="4926" priority="4805" operator="containsText" text="PENDIENTE">
      <formula>NOT(ISERROR(SEARCH("PENDIENTE",Q75)))</formula>
    </cfRule>
  </conditionalFormatting>
  <conditionalFormatting sqref="Q76:R76 Q83:R84 Q80:R81">
    <cfRule type="containsText" dxfId="4925" priority="2916" operator="containsText" text="PENDIENTE">
      <formula>NOT(ISERROR(SEARCH("PENDIENTE",Q76)))</formula>
    </cfRule>
    <cfRule type="containsText" dxfId="4924" priority="2915" operator="containsText" text="ENTREGADO">
      <formula>NOT(ISERROR(SEARCH("ENTREGADO",Q76)))</formula>
    </cfRule>
  </conditionalFormatting>
  <conditionalFormatting sqref="Q78:R78">
    <cfRule type="containsText" dxfId="4923" priority="1608" operator="containsText" text="PENDIENTE">
      <formula>NOT(ISERROR(SEARCH("PENDIENTE",Q78)))</formula>
    </cfRule>
    <cfRule type="containsText" dxfId="4922" priority="1607" operator="containsText" text="ENTREGADO">
      <formula>NOT(ISERROR(SEARCH("ENTREGADO",Q78)))</formula>
    </cfRule>
  </conditionalFormatting>
  <conditionalFormatting sqref="Q85:R85">
    <cfRule type="containsText" dxfId="4921" priority="2657" operator="containsText" text="ENTREGADO">
      <formula>NOT(ISERROR(SEARCH("ENTREGADO",Q85)))</formula>
    </cfRule>
    <cfRule type="containsText" dxfId="4920" priority="2658" operator="containsText" text="PENDIENTE">
      <formula>NOT(ISERROR(SEARCH("PENDIENTE",Q85)))</formula>
    </cfRule>
  </conditionalFormatting>
  <conditionalFormatting sqref="Q88:R88">
    <cfRule type="containsText" dxfId="4919" priority="2245" operator="containsText" text="PENDIENTE">
      <formula>NOT(ISERROR(SEARCH("PENDIENTE",Q88)))</formula>
    </cfRule>
    <cfRule type="containsText" dxfId="4918" priority="2244" operator="containsText" text="ENTREGADO">
      <formula>NOT(ISERROR(SEARCH("ENTREGADO",Q88)))</formula>
    </cfRule>
  </conditionalFormatting>
  <conditionalFormatting sqref="Q34:S34">
    <cfRule type="containsText" dxfId="4917" priority="7716" operator="containsText" text="ENTREGADO">
      <formula>NOT(ISERROR(SEARCH("ENTREGADO",Q34)))</formula>
    </cfRule>
  </conditionalFormatting>
  <conditionalFormatting sqref="R2">
    <cfRule type="containsText" dxfId="4916" priority="7769" operator="containsText" text="PENDIENTE">
      <formula>NOT(ISERROR(SEARCH("PENDIENTE",R2)))</formula>
    </cfRule>
    <cfRule type="containsText" dxfId="4915" priority="7768" operator="containsText" text="ENTREGADO">
      <formula>NOT(ISERROR(SEARCH("ENTREGADO",R2)))</formula>
    </cfRule>
    <cfRule type="containsText" dxfId="4914" priority="7770" operator="containsText" text="ENTREGADO">
      <formula>NOT(ISERROR(SEARCH("ENTREGADO",R2)))</formula>
    </cfRule>
  </conditionalFormatting>
  <conditionalFormatting sqref="R2:R3">
    <cfRule type="containsText" dxfId="4913" priority="7739" operator="containsText" text="PRIORIDAD">
      <formula>NOT(ISERROR(SEARCH("PRIORIDAD",R2)))</formula>
    </cfRule>
    <cfRule type="containsText" dxfId="4912" priority="7740" operator="containsText" text="ENTREGADO">
      <formula>NOT(ISERROR(SEARCH("ENTREGADO",R2)))</formula>
    </cfRule>
  </conditionalFormatting>
  <conditionalFormatting sqref="R3">
    <cfRule type="containsText" dxfId="4911" priority="7738" operator="containsText" text="ENTREGADO">
      <formula>NOT(ISERROR(SEARCH("ENTREGADO",R3)))</formula>
    </cfRule>
  </conditionalFormatting>
  <conditionalFormatting sqref="R3:R4">
    <cfRule type="containsText" dxfId="4910" priority="7658" operator="containsText" text="ENTREGADO">
      <formula>NOT(ISERROR(SEARCH("ENTREGADO",R3)))</formula>
    </cfRule>
    <cfRule type="containsText" dxfId="4909" priority="7662" operator="containsText" text="PENDIENTE">
      <formula>NOT(ISERROR(SEARCH("PENDIENTE",R3)))</formula>
    </cfRule>
  </conditionalFormatting>
  <conditionalFormatting sqref="R4">
    <cfRule type="containsText" dxfId="4908" priority="7657" operator="containsText" text="ENTREGADO">
      <formula>NOT(ISERROR(SEARCH("ENTREGADO",R4)))</formula>
    </cfRule>
    <cfRule type="containsText" dxfId="4907" priority="7656" operator="containsText" text="PENDIENTE">
      <formula>NOT(ISERROR(SEARCH("PENDIENTE",R4)))</formula>
    </cfRule>
    <cfRule type="containsText" dxfId="4906" priority="7660" operator="containsText" text="PENDIENTE">
      <formula>NOT(ISERROR(SEARCH("PENDIENTE",R4)))</formula>
    </cfRule>
    <cfRule type="containsText" dxfId="4905" priority="7659" operator="containsText" text="ENTREGADO">
      <formula>NOT(ISERROR(SEARCH("ENTREGADO",R4)))</formula>
    </cfRule>
  </conditionalFormatting>
  <conditionalFormatting sqref="R4:R5">
    <cfRule type="containsText" dxfId="4904" priority="7634" operator="containsText" text="ENTREGADO">
      <formula>NOT(ISERROR(SEARCH("ENTREGADO",R4)))</formula>
    </cfRule>
  </conditionalFormatting>
  <conditionalFormatting sqref="R4:R23">
    <cfRule type="containsText" dxfId="4903" priority="6842" operator="containsText" text="ENTREGADO">
      <formula>NOT(ISERROR(SEARCH("ENTREGADO",R4)))</formula>
    </cfRule>
  </conditionalFormatting>
  <conditionalFormatting sqref="R5">
    <cfRule type="containsText" dxfId="4902" priority="7632" operator="containsText" text="ENTREGADO">
      <formula>NOT(ISERROR(SEARCH("ENTREGADO",R5)))</formula>
    </cfRule>
    <cfRule type="containsText" dxfId="4901" priority="7633" operator="containsText" text="PRIORIDAD">
      <formula>NOT(ISERROR(SEARCH("PRIORIDAD",R5)))</formula>
    </cfRule>
  </conditionalFormatting>
  <conditionalFormatting sqref="R6">
    <cfRule type="containsText" dxfId="4900" priority="7616" operator="containsText" text="ENTREGADO">
      <formula>NOT(ISERROR(SEARCH("ENTREGADO",R6)))</formula>
    </cfRule>
    <cfRule type="containsText" dxfId="4899" priority="7615" operator="containsText" text="PRIORIDAD">
      <formula>NOT(ISERROR(SEARCH("PRIORIDAD",R6)))</formula>
    </cfRule>
  </conditionalFormatting>
  <conditionalFormatting sqref="R6:R7">
    <cfRule type="containsText" dxfId="4898" priority="7610" operator="containsText" text="ENTREGADO">
      <formula>NOT(ISERROR(SEARCH("ENTREGADO",R6)))</formula>
    </cfRule>
  </conditionalFormatting>
  <conditionalFormatting sqref="R6:R23">
    <cfRule type="containsText" dxfId="4897" priority="6843" operator="containsText" text="PENDIENTE">
      <formula>NOT(ISERROR(SEARCH("PENDIENTE",R6)))</formula>
    </cfRule>
  </conditionalFormatting>
  <conditionalFormatting sqref="R7:R8">
    <cfRule type="containsText" dxfId="4896" priority="7598" operator="containsText" text="ENTREGADO">
      <formula>NOT(ISERROR(SEARCH("ENTREGADO",R7)))</formula>
    </cfRule>
  </conditionalFormatting>
  <conditionalFormatting sqref="R8">
    <cfRule type="containsText" dxfId="4895" priority="7597" operator="containsText" text="PRIORIDAD">
      <formula>NOT(ISERROR(SEARCH("PRIORIDAD",R8)))</formula>
    </cfRule>
  </conditionalFormatting>
  <conditionalFormatting sqref="R8:R9">
    <cfRule type="containsText" dxfId="4894" priority="7510" operator="containsText" text="ENTREGADO">
      <formula>NOT(ISERROR(SEARCH("ENTREGADO",R8)))</formula>
    </cfRule>
  </conditionalFormatting>
  <conditionalFormatting sqref="R9">
    <cfRule type="containsText" dxfId="4893" priority="7509" operator="containsText" text="PRIORIDAD">
      <formula>NOT(ISERROR(SEARCH("PRIORIDAD",R9)))</formula>
    </cfRule>
  </conditionalFormatting>
  <conditionalFormatting sqref="R9:R11">
    <cfRule type="containsText" dxfId="4892" priority="7438" operator="containsText" text="ENTREGADO">
      <formula>NOT(ISERROR(SEARCH("ENTREGADO",R9)))</formula>
    </cfRule>
  </conditionalFormatting>
  <conditionalFormatting sqref="R10">
    <cfRule type="containsText" dxfId="4891" priority="7437" operator="containsText" text="PRIORIDAD">
      <formula>NOT(ISERROR(SEARCH("PRIORIDAD",R10)))</formula>
    </cfRule>
    <cfRule type="containsText" dxfId="4890" priority="7436" operator="containsText" text="ENTREGADO">
      <formula>NOT(ISERROR(SEARCH("ENTREGADO",R10)))</formula>
    </cfRule>
  </conditionalFormatting>
  <conditionalFormatting sqref="R11">
    <cfRule type="containsText" dxfId="4889" priority="7444" operator="containsText" text="ENTREGADO">
      <formula>NOT(ISERROR(SEARCH("ENTREGADO",R11)))</formula>
    </cfRule>
    <cfRule type="containsText" dxfId="4888" priority="7443" operator="containsText" text="PRIORIDAD">
      <formula>NOT(ISERROR(SEARCH("PRIORIDAD",R11)))</formula>
    </cfRule>
  </conditionalFormatting>
  <conditionalFormatting sqref="R12">
    <cfRule type="containsText" dxfId="4887" priority="7480" operator="containsText" text="ENTREGADO">
      <formula>NOT(ISERROR(SEARCH("ENTREGADO",R12)))</formula>
    </cfRule>
    <cfRule type="containsText" dxfId="4886" priority="7479" operator="containsText" text="PRIORIDAD">
      <formula>NOT(ISERROR(SEARCH("PRIORIDAD",R12)))</formula>
    </cfRule>
  </conditionalFormatting>
  <conditionalFormatting sqref="R12:R13">
    <cfRule type="containsText" dxfId="4885" priority="7474" operator="containsText" text="ENTREGADO">
      <formula>NOT(ISERROR(SEARCH("ENTREGADO",R12)))</formula>
    </cfRule>
  </conditionalFormatting>
  <conditionalFormatting sqref="R13">
    <cfRule type="containsText" dxfId="4884" priority="7473" operator="containsText" text="PRIORIDAD">
      <formula>NOT(ISERROR(SEARCH("PRIORIDAD",R13)))</formula>
    </cfRule>
  </conditionalFormatting>
  <conditionalFormatting sqref="R13:R14">
    <cfRule type="containsText" dxfId="4883" priority="7468" operator="containsText" text="ENTREGADO">
      <formula>NOT(ISERROR(SEARCH("ENTREGADO",R13)))</formula>
    </cfRule>
  </conditionalFormatting>
  <conditionalFormatting sqref="R14">
    <cfRule type="containsText" dxfId="4882" priority="7467" operator="containsText" text="PRIORIDAD">
      <formula>NOT(ISERROR(SEARCH("PRIORIDAD",R14)))</formula>
    </cfRule>
  </conditionalFormatting>
  <conditionalFormatting sqref="R14:R15">
    <cfRule type="containsText" dxfId="4881" priority="7462" operator="containsText" text="ENTREGADO">
      <formula>NOT(ISERROR(SEARCH("ENTREGADO",R14)))</formula>
    </cfRule>
  </conditionalFormatting>
  <conditionalFormatting sqref="R15">
    <cfRule type="containsText" dxfId="4880" priority="7461" operator="containsText" text="PRIORIDAD">
      <formula>NOT(ISERROR(SEARCH("PRIORIDAD",R15)))</formula>
    </cfRule>
  </conditionalFormatting>
  <conditionalFormatting sqref="R15:R16">
    <cfRule type="containsText" dxfId="4879" priority="7456" operator="containsText" text="ENTREGADO">
      <formula>NOT(ISERROR(SEARCH("ENTREGADO",R15)))</formula>
    </cfRule>
  </conditionalFormatting>
  <conditionalFormatting sqref="R16">
    <cfRule type="containsText" dxfId="4878" priority="7455" operator="containsText" text="PRIORIDAD">
      <formula>NOT(ISERROR(SEARCH("PRIORIDAD",R16)))</formula>
    </cfRule>
  </conditionalFormatting>
  <conditionalFormatting sqref="R16:R18">
    <cfRule type="containsText" dxfId="4877" priority="7450" operator="containsText" text="ENTREGADO">
      <formula>NOT(ISERROR(SEARCH("ENTREGADO",R16)))</formula>
    </cfRule>
  </conditionalFormatting>
  <conditionalFormatting sqref="R17">
    <cfRule type="containsText" dxfId="4876" priority="7448" operator="containsText" text="ENTREGADO">
      <formula>NOT(ISERROR(SEARCH("ENTREGADO",R17)))</formula>
    </cfRule>
    <cfRule type="containsText" dxfId="4875" priority="7449" operator="containsText" text="PRIORIDAD">
      <formula>NOT(ISERROR(SEARCH("PRIORIDAD",R17)))</formula>
    </cfRule>
  </conditionalFormatting>
  <conditionalFormatting sqref="R18">
    <cfRule type="containsText" dxfId="4874" priority="7531" operator="containsText" text="PRIORIDAD">
      <formula>NOT(ISERROR(SEARCH("PRIORIDAD",R18)))</formula>
    </cfRule>
    <cfRule type="containsText" dxfId="4873" priority="7532" operator="containsText" text="ENTREGADO">
      <formula>NOT(ISERROR(SEARCH("ENTREGADO",R18)))</formula>
    </cfRule>
  </conditionalFormatting>
  <conditionalFormatting sqref="R19">
    <cfRule type="containsText" dxfId="4872" priority="7604" operator="containsText" text="ENTREGADO">
      <formula>NOT(ISERROR(SEARCH("ENTREGADO",R19)))</formula>
    </cfRule>
    <cfRule type="containsText" dxfId="4871" priority="7603" operator="containsText" text="PRIORIDAD">
      <formula>NOT(ISERROR(SEARCH("PRIORIDAD",R19)))</formula>
    </cfRule>
  </conditionalFormatting>
  <conditionalFormatting sqref="R19:R20">
    <cfRule type="containsText" dxfId="4870" priority="7586" operator="containsText" text="ENTREGADO">
      <formula>NOT(ISERROR(SEARCH("ENTREGADO",R19)))</formula>
    </cfRule>
  </conditionalFormatting>
  <conditionalFormatting sqref="R20">
    <cfRule type="containsText" dxfId="4869" priority="7585" operator="containsText" text="PRIORIDAD">
      <formula>NOT(ISERROR(SEARCH("PRIORIDAD",R20)))</formula>
    </cfRule>
  </conditionalFormatting>
  <conditionalFormatting sqref="R20:R21">
    <cfRule type="containsText" dxfId="4868" priority="7580" operator="containsText" text="ENTREGADO">
      <formula>NOT(ISERROR(SEARCH("ENTREGADO",R20)))</formula>
    </cfRule>
  </conditionalFormatting>
  <conditionalFormatting sqref="R21">
    <cfRule type="containsText" dxfId="4867" priority="7579" operator="containsText" text="PRIORIDAD">
      <formula>NOT(ISERROR(SEARCH("PRIORIDAD",R21)))</formula>
    </cfRule>
  </conditionalFormatting>
  <conditionalFormatting sqref="R21:R22">
    <cfRule type="containsText" dxfId="4866" priority="7544" operator="containsText" text="ENTREGADO">
      <formula>NOT(ISERROR(SEARCH("ENTREGADO",R21)))</formula>
    </cfRule>
  </conditionalFormatting>
  <conditionalFormatting sqref="R22">
    <cfRule type="containsText" dxfId="4865" priority="7543" operator="containsText" text="PRIORIDAD">
      <formula>NOT(ISERROR(SEARCH("PRIORIDAD",R22)))</formula>
    </cfRule>
    <cfRule type="containsText" dxfId="4864" priority="7542" operator="containsText" text="ENTREGADO">
      <formula>NOT(ISERROR(SEARCH("ENTREGADO",R22)))</formula>
    </cfRule>
  </conditionalFormatting>
  <conditionalFormatting sqref="R23">
    <cfRule type="containsText" dxfId="4863" priority="6846" operator="containsText" text="ENTREGADO">
      <formula>NOT(ISERROR(SEARCH("ENTREGADO",R23)))</formula>
    </cfRule>
  </conditionalFormatting>
  <conditionalFormatting sqref="R23:R24">
    <cfRule type="containsText" dxfId="4862" priority="6848" operator="containsText" text="ENTREGADO">
      <formula>NOT(ISERROR(SEARCH("ENTREGADO",R23)))</formula>
    </cfRule>
  </conditionalFormatting>
  <conditionalFormatting sqref="R27">
    <cfRule type="containsText" dxfId="4861" priority="7571" operator="containsText" text="ENTREGADO">
      <formula>NOT(ISERROR(SEARCH("ENTREGADO",R27)))</formula>
    </cfRule>
    <cfRule type="containsText" dxfId="4860" priority="7570" operator="containsText" text="ENTREGADO">
      <formula>NOT(ISERROR(SEARCH("ENTREGADO",R27)))</formula>
    </cfRule>
    <cfRule type="containsText" dxfId="4859" priority="7563" operator="containsText" text="PENDIENTE">
      <formula>NOT(ISERROR(SEARCH("PENDIENTE",R27)))</formula>
    </cfRule>
    <cfRule type="containsText" dxfId="4858" priority="7557" operator="containsText" text="ENTREGADO">
      <formula>NOT(ISERROR(SEARCH("ENTREGADO",R27)))</formula>
    </cfRule>
    <cfRule type="containsText" dxfId="4857" priority="7565" operator="containsText" text="ENTREGADO">
      <formula>NOT(ISERROR(SEARCH("ENTREGADO",R27)))</formula>
    </cfRule>
    <cfRule type="containsText" dxfId="4856" priority="7569" operator="containsText" text="PENDIENTE">
      <formula>NOT(ISERROR(SEARCH("PENDIENTE",R27)))</formula>
    </cfRule>
    <cfRule type="containsText" dxfId="4855" priority="7567" operator="containsText" text="ENTREGADO">
      <formula>NOT(ISERROR(SEARCH("ENTREGADO",R27)))</formula>
    </cfRule>
    <cfRule type="containsText" dxfId="4854" priority="7566" operator="containsText" text="PENDIENTE">
      <formula>NOT(ISERROR(SEARCH("PENDIENTE",R27)))</formula>
    </cfRule>
    <cfRule type="containsText" dxfId="4853" priority="7558" operator="containsText" text="PRIORIDAD">
      <formula>NOT(ISERROR(SEARCH("PRIORIDAD",R27)))</formula>
    </cfRule>
    <cfRule type="containsText" dxfId="4852" priority="7562" operator="containsText" text="ENTREGADO">
      <formula>NOT(ISERROR(SEARCH("ENTREGADO",R27)))</formula>
    </cfRule>
    <cfRule type="containsText" dxfId="4851" priority="7568" operator="containsText" text="PRIORIDAD">
      <formula>NOT(ISERROR(SEARCH("PRIORIDAD",R27)))</formula>
    </cfRule>
    <cfRule type="containsText" dxfId="4850" priority="7561" operator="containsText" text="ENTREGADO">
      <formula>NOT(ISERROR(SEARCH("ENTREGADO",R27)))</formula>
    </cfRule>
    <cfRule type="containsText" dxfId="4849" priority="7560" operator="containsText" text="ENTREGADO">
      <formula>NOT(ISERROR(SEARCH("ENTREGADO",R27)))</formula>
    </cfRule>
    <cfRule type="containsText" dxfId="4848" priority="7559" operator="containsText" text="PENDIENTE">
      <formula>NOT(ISERROR(SEARCH("PENDIENTE",R27)))</formula>
    </cfRule>
    <cfRule type="containsText" dxfId="4847" priority="7574" operator="containsText" text="ENTREGADO">
      <formula>NOT(ISERROR(SEARCH("ENTREGADO",R27)))</formula>
    </cfRule>
    <cfRule type="containsText" dxfId="4846" priority="7564" operator="containsText" text="ENTREGADO">
      <formula>NOT(ISERROR(SEARCH("ENTREGADO",R27)))</formula>
    </cfRule>
    <cfRule type="containsText" dxfId="4845" priority="7572" operator="containsText" text="ENTREGADO">
      <formula>NOT(ISERROR(SEARCH("ENTREGADO",R27)))</formula>
    </cfRule>
  </conditionalFormatting>
  <conditionalFormatting sqref="R28">
    <cfRule type="containsText" dxfId="4844" priority="7751" operator="containsText" text="ENTREGADO">
      <formula>NOT(ISERROR(SEARCH("ENTREGADO",R28)))</formula>
    </cfRule>
    <cfRule type="containsText" dxfId="4843" priority="7750" operator="containsText" text="PENDIENTE">
      <formula>NOT(ISERROR(SEARCH("PENDIENTE",R28)))</formula>
    </cfRule>
    <cfRule type="containsText" dxfId="4842" priority="7749" operator="containsText" text="ENTREGADO">
      <formula>NOT(ISERROR(SEARCH("ENTREGADO",R28)))</formula>
    </cfRule>
    <cfRule type="containsText" dxfId="4841" priority="7748" operator="containsText" text="ENTREGADO">
      <formula>NOT(ISERROR(SEARCH("ENTREGADO",R28)))</formula>
    </cfRule>
    <cfRule type="containsText" dxfId="4840" priority="7745" operator="containsText" text="ENTREGADO">
      <formula>NOT(ISERROR(SEARCH("ENTREGADO",R28)))</formula>
    </cfRule>
    <cfRule type="containsText" dxfId="4839" priority="7746" operator="containsText" text="ENTREGADO">
      <formula>NOT(ISERROR(SEARCH("ENTREGADO",R28)))</formula>
    </cfRule>
    <cfRule type="containsText" dxfId="4838" priority="7747" operator="containsText" text="PENDIENTE">
      <formula>NOT(ISERROR(SEARCH("PENDIENTE",R28)))</formula>
    </cfRule>
    <cfRule type="containsText" dxfId="4837" priority="7758" operator="containsText" text="ENTREGADO">
      <formula>NOT(ISERROR(SEARCH("ENTREGADO",R28)))</formula>
    </cfRule>
    <cfRule type="containsText" dxfId="4836" priority="7757" operator="containsText" text="PENDIENTE">
      <formula>NOT(ISERROR(SEARCH("PENDIENTE",R28)))</formula>
    </cfRule>
    <cfRule type="containsText" dxfId="4835" priority="7756" operator="containsText" text="ENTREGADO">
      <formula>NOT(ISERROR(SEARCH("ENTREGADO",R28)))</formula>
    </cfRule>
    <cfRule type="containsText" dxfId="4834" priority="7744" operator="containsText" text="ENTREGADO">
      <formula>NOT(ISERROR(SEARCH("ENTREGADO",R28)))</formula>
    </cfRule>
    <cfRule type="containsText" dxfId="4833" priority="7742" operator="containsText" text="PRIORIDAD">
      <formula>NOT(ISERROR(SEARCH("PRIORIDAD",R28)))</formula>
    </cfRule>
    <cfRule type="containsText" dxfId="4832" priority="7755" operator="containsText" text="ENTREGADO">
      <formula>NOT(ISERROR(SEARCH("ENTREGADO",R28)))</formula>
    </cfRule>
    <cfRule type="containsText" dxfId="4831" priority="7754" operator="containsText" text="ENTREGADO">
      <formula>NOT(ISERROR(SEARCH("ENTREGADO",R28)))</formula>
    </cfRule>
    <cfRule type="containsText" dxfId="4830" priority="7753" operator="containsText" text="PENDIENTE">
      <formula>NOT(ISERROR(SEARCH("PENDIENTE",R28)))</formula>
    </cfRule>
    <cfRule type="containsText" dxfId="4829" priority="7752" operator="containsText" text="PRIORIDAD">
      <formula>NOT(ISERROR(SEARCH("PRIORIDAD",R28)))</formula>
    </cfRule>
    <cfRule type="containsText" dxfId="4828" priority="7743" operator="containsText" text="PENDIENTE">
      <formula>NOT(ISERROR(SEARCH("PENDIENTE",R28)))</formula>
    </cfRule>
  </conditionalFormatting>
  <conditionalFormatting sqref="R28:R29">
    <cfRule type="containsText" dxfId="4827" priority="7734" operator="containsText" text="ENTREGADO">
      <formula>NOT(ISERROR(SEARCH("ENTREGADO",R28)))</formula>
    </cfRule>
  </conditionalFormatting>
  <conditionalFormatting sqref="R29">
    <cfRule type="containsText" dxfId="4826" priority="7731" operator="containsText" text="ENTREGADO">
      <formula>NOT(ISERROR(SEARCH("ENTREGADO",R29)))</formula>
    </cfRule>
    <cfRule type="containsText" dxfId="4825" priority="7732" operator="containsText" text="ENTREGADO">
      <formula>NOT(ISERROR(SEARCH("ENTREGADO",R29)))</formula>
    </cfRule>
    <cfRule type="containsText" dxfId="4824" priority="7733" operator="containsText" text="PENDIENTE">
      <formula>NOT(ISERROR(SEARCH("PENDIENTE",R29)))</formula>
    </cfRule>
    <cfRule type="containsText" dxfId="4823" priority="7720" operator="containsText" text="ENTREGADO">
      <formula>NOT(ISERROR(SEARCH("ENTREGADO",R29)))</formula>
    </cfRule>
    <cfRule type="containsText" dxfId="4822" priority="7719" operator="containsText" text="PENDIENTE">
      <formula>NOT(ISERROR(SEARCH("PENDIENTE",R29)))</formula>
    </cfRule>
    <cfRule type="containsText" dxfId="4821" priority="7723" operator="containsText" text="PENDIENTE">
      <formula>NOT(ISERROR(SEARCH("PENDIENTE",R29)))</formula>
    </cfRule>
    <cfRule type="containsText" dxfId="4820" priority="7721" operator="containsText" text="ENTREGADO">
      <formula>NOT(ISERROR(SEARCH("ENTREGADO",R29)))</formula>
    </cfRule>
    <cfRule type="containsText" dxfId="4819" priority="7718" operator="containsText" text="PRIORIDAD">
      <formula>NOT(ISERROR(SEARCH("PRIORIDAD",R29)))</formula>
    </cfRule>
    <cfRule type="containsText" dxfId="4818" priority="7724" operator="containsText" text="ENTREGADO">
      <formula>NOT(ISERROR(SEARCH("ENTREGADO",R29)))</formula>
    </cfRule>
    <cfRule type="containsText" dxfId="4817" priority="7727" operator="containsText" text="ENTREGADO">
      <formula>NOT(ISERROR(SEARCH("ENTREGADO",R29)))</formula>
    </cfRule>
    <cfRule type="containsText" dxfId="4816" priority="7725" operator="containsText" text="ENTREGADO">
      <formula>NOT(ISERROR(SEARCH("ENTREGADO",R29)))</formula>
    </cfRule>
    <cfRule type="containsText" dxfId="4815" priority="7726" operator="containsText" text="PENDIENTE">
      <formula>NOT(ISERROR(SEARCH("PENDIENTE",R29)))</formula>
    </cfRule>
    <cfRule type="containsText" dxfId="4814" priority="7728" operator="containsText" text="PRIORIDAD">
      <formula>NOT(ISERROR(SEARCH("PRIORIDAD",R29)))</formula>
    </cfRule>
    <cfRule type="containsText" dxfId="4813" priority="7729" operator="containsText" text="PENDIENTE">
      <formula>NOT(ISERROR(SEARCH("PENDIENTE",R29)))</formula>
    </cfRule>
    <cfRule type="containsText" dxfId="4812" priority="7730" operator="containsText" text="ENTREGADO">
      <formula>NOT(ISERROR(SEARCH("ENTREGADO",R29)))</formula>
    </cfRule>
    <cfRule type="containsText" dxfId="4811" priority="7722" operator="containsText" text="ENTREGADO">
      <formula>NOT(ISERROR(SEARCH("ENTREGADO",R29)))</formula>
    </cfRule>
  </conditionalFormatting>
  <conditionalFormatting sqref="R29:R30">
    <cfRule type="containsText" dxfId="4810" priority="7680" operator="containsText" text="ENTREGADO">
      <formula>NOT(ISERROR(SEARCH("ENTREGADO",R29)))</formula>
    </cfRule>
  </conditionalFormatting>
  <conditionalFormatting sqref="R30">
    <cfRule type="containsText" dxfId="4809" priority="7666" operator="containsText" text="ENTREGADO">
      <formula>NOT(ISERROR(SEARCH("ENTREGADO",R30)))</formula>
    </cfRule>
    <cfRule type="containsText" dxfId="4808" priority="7667" operator="containsText" text="ENTREGADO">
      <formula>NOT(ISERROR(SEARCH("ENTREGADO",R30)))</formula>
    </cfRule>
    <cfRule type="containsText" dxfId="4807" priority="7668" operator="containsText" text="ENTREGADO">
      <formula>NOT(ISERROR(SEARCH("ENTREGADO",R30)))</formula>
    </cfRule>
    <cfRule type="containsText" dxfId="4806" priority="7669" operator="containsText" text="PENDIENTE">
      <formula>NOT(ISERROR(SEARCH("PENDIENTE",R30)))</formula>
    </cfRule>
    <cfRule type="containsText" dxfId="4805" priority="7670" operator="containsText" text="ENTREGADO">
      <formula>NOT(ISERROR(SEARCH("ENTREGADO",R30)))</formula>
    </cfRule>
    <cfRule type="containsText" dxfId="4804" priority="7672" operator="containsText" text="PENDIENTE">
      <formula>NOT(ISERROR(SEARCH("PENDIENTE",R30)))</formula>
    </cfRule>
    <cfRule type="containsText" dxfId="4803" priority="7673" operator="containsText" text="ENTREGADO">
      <formula>NOT(ISERROR(SEARCH("ENTREGADO",R30)))</formula>
    </cfRule>
    <cfRule type="containsText" dxfId="4802" priority="7674" operator="containsText" text="PRIORIDAD">
      <formula>NOT(ISERROR(SEARCH("PRIORIDAD",R30)))</formula>
    </cfRule>
    <cfRule type="containsText" dxfId="4801" priority="7675" operator="containsText" text="PENDIENTE">
      <formula>NOT(ISERROR(SEARCH("PENDIENTE",R30)))</formula>
    </cfRule>
    <cfRule type="containsText" dxfId="4800" priority="7676" operator="containsText" text="ENTREGADO">
      <formula>NOT(ISERROR(SEARCH("ENTREGADO",R30)))</formula>
    </cfRule>
    <cfRule type="containsText" dxfId="4799" priority="7677" operator="containsText" text="ENTREGADO">
      <formula>NOT(ISERROR(SEARCH("ENTREGADO",R30)))</formula>
    </cfRule>
    <cfRule type="containsText" dxfId="4798" priority="7678" operator="containsText" text="ENTREGADO">
      <formula>NOT(ISERROR(SEARCH("ENTREGADO",R30)))</formula>
    </cfRule>
    <cfRule type="containsText" dxfId="4797" priority="7679" operator="containsText" text="PENDIENTE">
      <formula>NOT(ISERROR(SEARCH("PENDIENTE",R30)))</formula>
    </cfRule>
    <cfRule type="containsText" dxfId="4796" priority="7671" operator="containsText" text="ENTREGADO">
      <formula>NOT(ISERROR(SEARCH("ENTREGADO",R30)))</formula>
    </cfRule>
    <cfRule type="containsText" dxfId="4795" priority="7664" operator="containsText" text="PRIORIDAD">
      <formula>NOT(ISERROR(SEARCH("PRIORIDAD",R30)))</formula>
    </cfRule>
    <cfRule type="containsText" dxfId="4794" priority="7665" operator="containsText" text="PENDIENTE">
      <formula>NOT(ISERROR(SEARCH("PENDIENTE",R30)))</formula>
    </cfRule>
  </conditionalFormatting>
  <conditionalFormatting sqref="R30:R32">
    <cfRule type="containsText" dxfId="4793" priority="7652" operator="containsText" text="ENTREGADO">
      <formula>NOT(ISERROR(SEARCH("ENTREGADO",R30)))</formula>
    </cfRule>
  </conditionalFormatting>
  <conditionalFormatting sqref="R31">
    <cfRule type="containsText" dxfId="4792" priority="7651" operator="containsText" text="ENTREGADO">
      <formula>NOT(ISERROR(SEARCH("ENTREGADO",R31)))</formula>
    </cfRule>
    <cfRule type="containsText" dxfId="4791" priority="7649" operator="containsText" text="PENDIENTE">
      <formula>NOT(ISERROR(SEARCH("PENDIENTE",R31)))</formula>
    </cfRule>
    <cfRule type="containsText" dxfId="4790" priority="7648" operator="containsText" text="ENTREGADO">
      <formula>NOT(ISERROR(SEARCH("ENTREGADO",R31)))</formula>
    </cfRule>
  </conditionalFormatting>
  <conditionalFormatting sqref="R32">
    <cfRule type="containsText" dxfId="4789" priority="7685" operator="containsText" text="ENTREGADO">
      <formula>NOT(ISERROR(SEARCH("ENTREGADO",R32)))</formula>
    </cfRule>
    <cfRule type="containsText" dxfId="4788" priority="7694" operator="containsText" text="ENTREGADO">
      <formula>NOT(ISERROR(SEARCH("ENTREGADO",R32)))</formula>
    </cfRule>
    <cfRule type="containsText" dxfId="4787" priority="7693" operator="containsText" text="PENDIENTE">
      <formula>NOT(ISERROR(SEARCH("PENDIENTE",R32)))</formula>
    </cfRule>
    <cfRule type="containsText" dxfId="4786" priority="7692" operator="containsText" text="PRIORIDAD">
      <formula>NOT(ISERROR(SEARCH("PRIORIDAD",R32)))</formula>
    </cfRule>
    <cfRule type="containsText" dxfId="4785" priority="7691" operator="containsText" text="ENTREGADO">
      <formula>NOT(ISERROR(SEARCH("ENTREGADO",R32)))</formula>
    </cfRule>
    <cfRule type="containsText" dxfId="4784" priority="7690" operator="containsText" text="PENDIENTE">
      <formula>NOT(ISERROR(SEARCH("PENDIENTE",R32)))</formula>
    </cfRule>
    <cfRule type="containsText" dxfId="4783" priority="7689" operator="containsText" text="ENTREGADO">
      <formula>NOT(ISERROR(SEARCH("ENTREGADO",R32)))</formula>
    </cfRule>
    <cfRule type="containsText" dxfId="4782" priority="7688" operator="containsText" text="ENTREGADO">
      <formula>NOT(ISERROR(SEARCH("ENTREGADO",R32)))</formula>
    </cfRule>
    <cfRule type="containsText" dxfId="4781" priority="7683" operator="containsText" text="PENDIENTE">
      <formula>NOT(ISERROR(SEARCH("PENDIENTE",R32)))</formula>
    </cfRule>
    <cfRule type="containsText" dxfId="4780" priority="7684" operator="containsText" text="ENTREGADO">
      <formula>NOT(ISERROR(SEARCH("ENTREGADO",R32)))</formula>
    </cfRule>
    <cfRule type="containsText" dxfId="4779" priority="7682" operator="containsText" text="PRIORIDAD">
      <formula>NOT(ISERROR(SEARCH("PRIORIDAD",R32)))</formula>
    </cfRule>
    <cfRule type="containsText" dxfId="4778" priority="7695" operator="containsText" text="ENTREGADO">
      <formula>NOT(ISERROR(SEARCH("ENTREGADO",R32)))</formula>
    </cfRule>
    <cfRule type="containsText" dxfId="4777" priority="7698" operator="containsText" text="ENTREGADO">
      <formula>NOT(ISERROR(SEARCH("ENTREGADO",R32)))</formula>
    </cfRule>
    <cfRule type="containsText" dxfId="4776" priority="7697" operator="containsText" text="PENDIENTE">
      <formula>NOT(ISERROR(SEARCH("PENDIENTE",R32)))</formula>
    </cfRule>
    <cfRule type="containsText" dxfId="4775" priority="7696" operator="containsText" text="ENTREGADO">
      <formula>NOT(ISERROR(SEARCH("ENTREGADO",R32)))</formula>
    </cfRule>
    <cfRule type="containsText" dxfId="4774" priority="7687" operator="containsText" text="PENDIENTE">
      <formula>NOT(ISERROR(SEARCH("PENDIENTE",R32)))</formula>
    </cfRule>
    <cfRule type="containsText" dxfId="4773" priority="7686" operator="containsText" text="ENTREGADO">
      <formula>NOT(ISERROR(SEARCH("ENTREGADO",R32)))</formula>
    </cfRule>
  </conditionalFormatting>
  <conditionalFormatting sqref="R33">
    <cfRule type="containsText" dxfId="4772" priority="5889" operator="containsText" text="PENDIENTE">
      <formula>NOT(ISERROR(SEARCH("PENDIENTE",R33)))</formula>
    </cfRule>
    <cfRule type="containsText" dxfId="4771" priority="5890" operator="containsText" text="ENTREGADO">
      <formula>NOT(ISERROR(SEARCH("ENTREGADO",R33)))</formula>
    </cfRule>
    <cfRule type="containsText" dxfId="4770" priority="5892" operator="containsText" text="ENTREGADO">
      <formula>NOT(ISERROR(SEARCH("ENTREGADO",R33)))</formula>
    </cfRule>
    <cfRule type="containsText" dxfId="4769" priority="5891" operator="containsText" text="PRIORIDAD">
      <formula>NOT(ISERROR(SEARCH("PRIORIDAD",R33)))</formula>
    </cfRule>
    <cfRule type="containsText" dxfId="4768" priority="5888" operator="containsText" text="ENTREGADO">
      <formula>NOT(ISERROR(SEARCH("ENTREGADO",R33)))</formula>
    </cfRule>
  </conditionalFormatting>
  <conditionalFormatting sqref="R34">
    <cfRule type="containsText" dxfId="4767" priority="7715" operator="containsText" text="PENDIENTE">
      <formula>NOT(ISERROR(SEARCH("PENDIENTE",R34)))</formula>
    </cfRule>
    <cfRule type="containsText" dxfId="4766" priority="7708" operator="containsText" text="PENDIENTE">
      <formula>NOT(ISERROR(SEARCH("PENDIENTE",R34)))</formula>
    </cfRule>
    <cfRule type="containsText" dxfId="4765" priority="7707" operator="containsText" text="ENTREGADO">
      <formula>NOT(ISERROR(SEARCH("ENTREGADO",R34)))</formula>
    </cfRule>
    <cfRule type="containsText" dxfId="4764" priority="7705" operator="containsText" text="PENDIENTE">
      <formula>NOT(ISERROR(SEARCH("PENDIENTE",R34)))</formula>
    </cfRule>
    <cfRule type="containsText" dxfId="4763" priority="7714" operator="containsText" text="ENTREGADO">
      <formula>NOT(ISERROR(SEARCH("ENTREGADO",R34)))</formula>
    </cfRule>
    <cfRule type="containsText" dxfId="4762" priority="7712" operator="containsText" text="ENTREGADO">
      <formula>NOT(ISERROR(SEARCH("ENTREGADO",R34)))</formula>
    </cfRule>
    <cfRule type="containsText" dxfId="4761" priority="7713" operator="containsText" text="ENTREGADO">
      <formula>NOT(ISERROR(SEARCH("ENTREGADO",R34)))</formula>
    </cfRule>
    <cfRule type="containsText" dxfId="4760" priority="7706" operator="containsText" text="ENTREGADO">
      <formula>NOT(ISERROR(SEARCH("ENTREGADO",R34)))</formula>
    </cfRule>
    <cfRule type="containsText" dxfId="4759" priority="7709" operator="containsText" text="ENTREGADO">
      <formula>NOT(ISERROR(SEARCH("ENTREGADO",R34)))</formula>
    </cfRule>
    <cfRule type="containsText" dxfId="4758" priority="7711" operator="containsText" text="PENDIENTE">
      <formula>NOT(ISERROR(SEARCH("PENDIENTE",R34)))</formula>
    </cfRule>
    <cfRule type="containsText" dxfId="4757" priority="7703" operator="containsText" text="ENTREGADO">
      <formula>NOT(ISERROR(SEARCH("ENTREGADO",R34)))</formula>
    </cfRule>
    <cfRule type="containsText" dxfId="4756" priority="7702" operator="containsText" text="ENTREGADO">
      <formula>NOT(ISERROR(SEARCH("ENTREGADO",R34)))</formula>
    </cfRule>
    <cfRule type="containsText" dxfId="4755" priority="7701" operator="containsText" text="PENDIENTE">
      <formula>NOT(ISERROR(SEARCH("PENDIENTE",R34)))</formula>
    </cfRule>
    <cfRule type="containsText" dxfId="4754" priority="7700" operator="containsText" text="PRIORIDAD">
      <formula>NOT(ISERROR(SEARCH("PRIORIDAD",R34)))</formula>
    </cfRule>
    <cfRule type="containsText" dxfId="4753" priority="7704" operator="containsText" text="ENTREGADO">
      <formula>NOT(ISERROR(SEARCH("ENTREGADO",R34)))</formula>
    </cfRule>
  </conditionalFormatting>
  <conditionalFormatting sqref="R34:R35">
    <cfRule type="containsText" dxfId="4752" priority="7646" operator="containsText" text="ENTREGADO">
      <formula>NOT(ISERROR(SEARCH("ENTREGADO",R34)))</formula>
    </cfRule>
  </conditionalFormatting>
  <conditionalFormatting sqref="R35">
    <cfRule type="containsText" dxfId="4751" priority="7643" operator="containsText" text="PENDIENTE">
      <formula>NOT(ISERROR(SEARCH("PENDIENTE",R35)))</formula>
    </cfRule>
    <cfRule type="containsText" dxfId="4750" priority="7645" operator="containsText" text="ENTREGADO">
      <formula>NOT(ISERROR(SEARCH("ENTREGADO",R35)))</formula>
    </cfRule>
    <cfRule type="containsText" dxfId="4749" priority="7644" operator="containsText" text="ENTREGADO">
      <formula>NOT(ISERROR(SEARCH("ENTREGADO",R35)))</formula>
    </cfRule>
  </conditionalFormatting>
  <conditionalFormatting sqref="R35:R36">
    <cfRule type="containsText" dxfId="4748" priority="7640" operator="containsText" text="ENTREGADO">
      <formula>NOT(ISERROR(SEARCH("ENTREGADO",R35)))</formula>
    </cfRule>
  </conditionalFormatting>
  <conditionalFormatting sqref="R35:R39">
    <cfRule type="containsText" dxfId="4747" priority="4079" operator="containsText" text="PRIORIDAD">
      <formula>NOT(ISERROR(SEARCH("PRIORIDAD",R35)))</formula>
    </cfRule>
  </conditionalFormatting>
  <conditionalFormatting sqref="R36">
    <cfRule type="containsText" dxfId="4746" priority="7638" operator="containsText" text="ENTREGADO">
      <formula>NOT(ISERROR(SEARCH("ENTREGADO",R36)))</formula>
    </cfRule>
    <cfRule type="containsText" dxfId="4745" priority="7639" operator="containsText" text="ENTREGADO">
      <formula>NOT(ISERROR(SEARCH("ENTREGADO",R36)))</formula>
    </cfRule>
    <cfRule type="containsText" dxfId="4744" priority="7637" operator="containsText" text="PENDIENTE">
      <formula>NOT(ISERROR(SEARCH("PENDIENTE",R36)))</formula>
    </cfRule>
  </conditionalFormatting>
  <conditionalFormatting sqref="R36:R37">
    <cfRule type="containsText" dxfId="4743" priority="7628" operator="containsText" text="ENTREGADO">
      <formula>NOT(ISERROR(SEARCH("ENTREGADO",R36)))</formula>
    </cfRule>
  </conditionalFormatting>
  <conditionalFormatting sqref="R37">
    <cfRule type="containsText" dxfId="4742" priority="7626" operator="containsText" text="ENTREGADO">
      <formula>NOT(ISERROR(SEARCH("ENTREGADO",R37)))</formula>
    </cfRule>
    <cfRule type="containsText" dxfId="4741" priority="7625" operator="containsText" text="PENDIENTE">
      <formula>NOT(ISERROR(SEARCH("PENDIENTE",R37)))</formula>
    </cfRule>
    <cfRule type="containsText" dxfId="4740" priority="7627" operator="containsText" text="ENTREGADO">
      <formula>NOT(ISERROR(SEARCH("ENTREGADO",R37)))</formula>
    </cfRule>
  </conditionalFormatting>
  <conditionalFormatting sqref="R37:R38">
    <cfRule type="containsText" dxfId="4739" priority="7622" operator="containsText" text="ENTREGADO">
      <formula>NOT(ISERROR(SEARCH("ENTREGADO",R37)))</formula>
    </cfRule>
  </conditionalFormatting>
  <conditionalFormatting sqref="R38 R40">
    <cfRule type="containsText" dxfId="4738" priority="7099" operator="containsText" text="ENTREGADO">
      <formula>NOT(ISERROR(SEARCH("ENTREGADO",R38)))</formula>
    </cfRule>
  </conditionalFormatting>
  <conditionalFormatting sqref="R38">
    <cfRule type="containsText" dxfId="4737" priority="7620" operator="containsText" text="ENTREGADO">
      <formula>NOT(ISERROR(SEARCH("ENTREGADO",R38)))</formula>
    </cfRule>
    <cfRule type="containsText" dxfId="4736" priority="7621" operator="containsText" text="ENTREGADO">
      <formula>NOT(ISERROR(SEARCH("ENTREGADO",R38)))</formula>
    </cfRule>
    <cfRule type="containsText" dxfId="4735" priority="7619" operator="containsText" text="PENDIENTE">
      <formula>NOT(ISERROR(SEARCH("PENDIENTE",R38)))</formula>
    </cfRule>
  </conditionalFormatting>
  <conditionalFormatting sqref="R39">
    <cfRule type="containsText" dxfId="4734" priority="4085" operator="containsText" text="ENTREGADO">
      <formula>NOT(ISERROR(SEARCH("ENTREGADO",R39)))</formula>
    </cfRule>
    <cfRule type="containsText" dxfId="4733" priority="4082" operator="containsText" text="ENTREGADO">
      <formula>NOT(ISERROR(SEARCH("ENTREGADO",R39)))</formula>
    </cfRule>
    <cfRule type="containsText" dxfId="4732" priority="4068" operator="containsText" text="ENTREGADO">
      <formula>NOT(ISERROR(SEARCH("ENTREGADO",R39)))</formula>
    </cfRule>
    <cfRule type="containsText" dxfId="4731" priority="4078" operator="containsText" text="ENTREGADO">
      <formula>NOT(ISERROR(SEARCH("ENTREGADO",R39)))</formula>
    </cfRule>
    <cfRule type="containsText" dxfId="4730" priority="4080" operator="containsText" text="PENDIENTE">
      <formula>NOT(ISERROR(SEARCH("PENDIENTE",R39)))</formula>
    </cfRule>
    <cfRule type="containsText" dxfId="4729" priority="4083" operator="containsText" text="ENTREGADO">
      <formula>NOT(ISERROR(SEARCH("ENTREGADO",R39)))</formula>
    </cfRule>
    <cfRule type="containsText" dxfId="4728" priority="4077" operator="containsText" text="PENDIENTE">
      <formula>NOT(ISERROR(SEARCH("PENDIENTE",R39)))</formula>
    </cfRule>
    <cfRule type="containsText" dxfId="4727" priority="4076" operator="containsText" text="ENTREGADO">
      <formula>NOT(ISERROR(SEARCH("ENTREGADO",R39)))</formula>
    </cfRule>
    <cfRule type="containsText" dxfId="4726" priority="4075" operator="containsText" text="ENTREGADO">
      <formula>NOT(ISERROR(SEARCH("ENTREGADO",R39)))</formula>
    </cfRule>
    <cfRule type="containsText" dxfId="4725" priority="4074" operator="containsText" text="PENDIENTE">
      <formula>NOT(ISERROR(SEARCH("PENDIENTE",R39)))</formula>
    </cfRule>
    <cfRule type="containsText" dxfId="4724" priority="4073" operator="containsText" text="ENTREGADO">
      <formula>NOT(ISERROR(SEARCH("ENTREGADO",R39)))</formula>
    </cfRule>
    <cfRule type="containsText" dxfId="4723" priority="4072" operator="containsText" text="ENTREGADO">
      <formula>NOT(ISERROR(SEARCH("ENTREGADO",R39)))</formula>
    </cfRule>
    <cfRule type="containsText" dxfId="4722" priority="4071" operator="containsText" text="ENTREGADO">
      <formula>NOT(ISERROR(SEARCH("ENTREGADO",R39)))</formula>
    </cfRule>
    <cfRule type="containsText" dxfId="4721" priority="4081" operator="containsText" text="ENTREGADO">
      <formula>NOT(ISERROR(SEARCH("ENTREGADO",R39)))</formula>
    </cfRule>
    <cfRule type="containsText" dxfId="4720" priority="4070" operator="containsText" text="PENDIENTE">
      <formula>NOT(ISERROR(SEARCH("PENDIENTE",R39)))</formula>
    </cfRule>
    <cfRule type="containsText" dxfId="4719" priority="4069" operator="containsText" text="PRIORIDAD">
      <formula>NOT(ISERROR(SEARCH("PRIORIDAD",R39)))</formula>
    </cfRule>
  </conditionalFormatting>
  <conditionalFormatting sqref="R40">
    <cfRule type="containsText" dxfId="4718" priority="7091" operator="containsText" text="PENDIENTE">
      <formula>NOT(ISERROR(SEARCH("PENDIENTE",R40)))</formula>
    </cfRule>
    <cfRule type="containsText" dxfId="4717" priority="7087" operator="containsText" text="ENTREGADO">
      <formula>NOT(ISERROR(SEARCH("ENTREGADO",R40)))</formula>
    </cfRule>
    <cfRule type="containsText" dxfId="4716" priority="7088" operator="containsText" text="PENDIENTE">
      <formula>NOT(ISERROR(SEARCH("PENDIENTE",R40)))</formula>
    </cfRule>
    <cfRule type="containsText" dxfId="4715" priority="7089" operator="containsText" text="ENTREGADO">
      <formula>NOT(ISERROR(SEARCH("ENTREGADO",R40)))</formula>
    </cfRule>
    <cfRule type="containsText" dxfId="4714" priority="7092" operator="containsText" text="ENTREGADO">
      <formula>NOT(ISERROR(SEARCH("ENTREGADO",R40)))</formula>
    </cfRule>
    <cfRule type="containsText" dxfId="4713" priority="7093" operator="containsText" text="PRIORIDAD">
      <formula>NOT(ISERROR(SEARCH("PRIORIDAD",R40)))</formula>
    </cfRule>
    <cfRule type="containsText" dxfId="4712" priority="7090" operator="containsText" text="ENTREGADO">
      <formula>NOT(ISERROR(SEARCH("ENTREGADO",R40)))</formula>
    </cfRule>
    <cfRule type="containsText" dxfId="4711" priority="7084" operator="containsText" text="PENDIENTE">
      <formula>NOT(ISERROR(SEARCH("PENDIENTE",R40)))</formula>
    </cfRule>
    <cfRule type="containsText" dxfId="4710" priority="7094" operator="containsText" text="PENDIENTE">
      <formula>NOT(ISERROR(SEARCH("PENDIENTE",R40)))</formula>
    </cfRule>
    <cfRule type="containsText" dxfId="4709" priority="7085" operator="containsText" text="ENTREGADO">
      <formula>NOT(ISERROR(SEARCH("ENTREGADO",R40)))</formula>
    </cfRule>
    <cfRule type="containsText" dxfId="4708" priority="7095" operator="containsText" text="ENTREGADO">
      <formula>NOT(ISERROR(SEARCH("ENTREGADO",R40)))</formula>
    </cfRule>
    <cfRule type="containsText" dxfId="4707" priority="7083" operator="containsText" text="PRIORIDAD">
      <formula>NOT(ISERROR(SEARCH("PRIORIDAD",R40)))</formula>
    </cfRule>
    <cfRule type="containsText" dxfId="4706" priority="7086" operator="containsText" text="ENTREGADO">
      <formula>NOT(ISERROR(SEARCH("ENTREGADO",R40)))</formula>
    </cfRule>
    <cfRule type="containsText" dxfId="4705" priority="7096" operator="containsText" text="ENTREGADO">
      <formula>NOT(ISERROR(SEARCH("ENTREGADO",R40)))</formula>
    </cfRule>
  </conditionalFormatting>
  <conditionalFormatting sqref="R41">
    <cfRule type="containsText" dxfId="4704" priority="3719" operator="containsText" text="ENTREGADO">
      <formula>NOT(ISERROR(SEARCH("ENTREGADO",R41)))</formula>
    </cfRule>
    <cfRule type="containsText" dxfId="4703" priority="3730" operator="containsText" text="ENTREGADO">
      <formula>NOT(ISERROR(SEARCH("ENTREGADO",R41)))</formula>
    </cfRule>
    <cfRule type="containsText" dxfId="4702" priority="3732" operator="containsText" text="PENDIENTE">
      <formula>NOT(ISERROR(SEARCH("PENDIENTE",R41)))</formula>
    </cfRule>
    <cfRule type="containsText" dxfId="4701" priority="3731" operator="containsText" text="ENTREGADO">
      <formula>NOT(ISERROR(SEARCH("ENTREGADO",R41)))</formula>
    </cfRule>
    <cfRule type="containsText" dxfId="4700" priority="3729" operator="containsText" text="ENTREGADO">
      <formula>NOT(ISERROR(SEARCH("ENTREGADO",R41)))</formula>
    </cfRule>
    <cfRule type="containsText" dxfId="4699" priority="3723" operator="containsText" text="ENTREGADO">
      <formula>NOT(ISERROR(SEARCH("ENTREGADO",R41)))</formula>
    </cfRule>
    <cfRule type="containsText" dxfId="4698" priority="3722" operator="containsText" text="PENDIENTE">
      <formula>NOT(ISERROR(SEARCH("PENDIENTE",R41)))</formula>
    </cfRule>
    <cfRule type="containsText" dxfId="4697" priority="3728" operator="containsText" text="PENDIENTE">
      <formula>NOT(ISERROR(SEARCH("PENDIENTE",R41)))</formula>
    </cfRule>
    <cfRule type="containsText" dxfId="4696" priority="3721" operator="containsText" text="ENTREGADO">
      <formula>NOT(ISERROR(SEARCH("ENTREGADO",R41)))</formula>
    </cfRule>
    <cfRule type="containsText" dxfId="4695" priority="3726" operator="containsText" text="ENTREGADO">
      <formula>NOT(ISERROR(SEARCH("ENTREGADO",R41)))</formula>
    </cfRule>
    <cfRule type="containsText" dxfId="4694" priority="3725" operator="containsText" text="PENDIENTE">
      <formula>NOT(ISERROR(SEARCH("PENDIENTE",R41)))</formula>
    </cfRule>
    <cfRule type="containsText" dxfId="4693" priority="3724" operator="containsText" text="ENTREGADO">
      <formula>NOT(ISERROR(SEARCH("ENTREGADO",R41)))</formula>
    </cfRule>
    <cfRule type="containsText" dxfId="4692" priority="3716" operator="containsText" text="ENTREGADO">
      <formula>NOT(ISERROR(SEARCH("ENTREGADO",R41)))</formula>
    </cfRule>
    <cfRule type="containsText" dxfId="4691" priority="3717" operator="containsText" text="PRIORIDAD">
      <formula>NOT(ISERROR(SEARCH("PRIORIDAD",R41)))</formula>
    </cfRule>
    <cfRule type="containsText" dxfId="4690" priority="3718" operator="containsText" text="PENDIENTE">
      <formula>NOT(ISERROR(SEARCH("PENDIENTE",R41)))</formula>
    </cfRule>
    <cfRule type="containsText" dxfId="4689" priority="3720" operator="containsText" text="ENTREGADO">
      <formula>NOT(ISERROR(SEARCH("ENTREGADO",R41)))</formula>
    </cfRule>
  </conditionalFormatting>
  <conditionalFormatting sqref="R41:R50">
    <cfRule type="containsText" dxfId="4688" priority="3727" operator="containsText" text="PRIORIDAD">
      <formula>NOT(ISERROR(SEARCH("PRIORIDAD",R41)))</formula>
    </cfRule>
  </conditionalFormatting>
  <conditionalFormatting sqref="R42:R44">
    <cfRule type="containsText" dxfId="4687" priority="7591" operator="containsText" text="ENTREGADO">
      <formula>NOT(ISERROR(SEARCH("ENTREGADO",R42)))</formula>
    </cfRule>
    <cfRule type="containsText" dxfId="4686" priority="7592" operator="containsText" text="ENTREGADO">
      <formula>NOT(ISERROR(SEARCH("ENTREGADO",R42)))</formula>
    </cfRule>
    <cfRule type="containsText" dxfId="4685" priority="7590" operator="containsText" text="ENTREGADO">
      <formula>NOT(ISERROR(SEARCH("ENTREGADO",R42)))</formula>
    </cfRule>
    <cfRule type="containsText" dxfId="4684" priority="7589" operator="containsText" text="PENDIENTE">
      <formula>NOT(ISERROR(SEARCH("PENDIENTE",R42)))</formula>
    </cfRule>
  </conditionalFormatting>
  <conditionalFormatting sqref="R42:R45">
    <cfRule type="containsText" dxfId="4683" priority="7556" operator="containsText" text="ENTREGADO">
      <formula>NOT(ISERROR(SEARCH("ENTREGADO",R42)))</formula>
    </cfRule>
  </conditionalFormatting>
  <conditionalFormatting sqref="R45 R50">
    <cfRule type="containsText" dxfId="4682" priority="7492" operator="containsText" text="ENTREGADO">
      <formula>NOT(ISERROR(SEARCH("ENTREGADO",R45)))</formula>
    </cfRule>
  </conditionalFormatting>
  <conditionalFormatting sqref="R45">
    <cfRule type="containsText" dxfId="4681" priority="7553" operator="containsText" text="PENDIENTE">
      <formula>NOT(ISERROR(SEARCH("PENDIENTE",R45)))</formula>
    </cfRule>
    <cfRule type="containsText" dxfId="4680" priority="7554" operator="containsText" text="ENTREGADO">
      <formula>NOT(ISERROR(SEARCH("ENTREGADO",R45)))</formula>
    </cfRule>
    <cfRule type="containsText" dxfId="4679" priority="7555" operator="containsText" text="ENTREGADO">
      <formula>NOT(ISERROR(SEARCH("ENTREGADO",R45)))</formula>
    </cfRule>
  </conditionalFormatting>
  <conditionalFormatting sqref="R46:R49">
    <cfRule type="containsText" dxfId="4678" priority="4368" operator="containsText" text="PENDIENTE">
      <formula>NOT(ISERROR(SEARCH("PENDIENTE",R46)))</formula>
    </cfRule>
    <cfRule type="containsText" dxfId="4677" priority="4367" operator="containsText" text="ENTREGADO">
      <formula>NOT(ISERROR(SEARCH("ENTREGADO",R46)))</formula>
    </cfRule>
    <cfRule type="containsText" dxfId="4676" priority="4371" operator="containsText" text="ENTREGADO">
      <formula>NOT(ISERROR(SEARCH("ENTREGADO",R46)))</formula>
    </cfRule>
    <cfRule type="containsText" dxfId="4675" priority="4370" operator="containsText" text="ENTREGADO">
      <formula>NOT(ISERROR(SEARCH("ENTREGADO",R46)))</formula>
    </cfRule>
    <cfRule type="containsText" dxfId="4674" priority="4369" operator="containsText" text="ENTREGADO">
      <formula>NOT(ISERROR(SEARCH("ENTREGADO",R46)))</formula>
    </cfRule>
  </conditionalFormatting>
  <conditionalFormatting sqref="R50 R54">
    <cfRule type="containsText" dxfId="4673" priority="7432" operator="containsText" text="ENTREGADO">
      <formula>NOT(ISERROR(SEARCH("ENTREGADO",R50)))</formula>
    </cfRule>
  </conditionalFormatting>
  <conditionalFormatting sqref="R50">
    <cfRule type="containsText" dxfId="4672" priority="7490" operator="containsText" text="ENTREGADO">
      <formula>NOT(ISERROR(SEARCH("ENTREGADO",R50)))</formula>
    </cfRule>
    <cfRule type="containsText" dxfId="4671" priority="7489" operator="containsText" text="PENDIENTE">
      <formula>NOT(ISERROR(SEARCH("PENDIENTE",R50)))</formula>
    </cfRule>
    <cfRule type="containsText" dxfId="4670" priority="7491" operator="containsText" text="ENTREGADO">
      <formula>NOT(ISERROR(SEARCH("ENTREGADO",R50)))</formula>
    </cfRule>
  </conditionalFormatting>
  <conditionalFormatting sqref="R51">
    <cfRule type="containsText" dxfId="4669" priority="7549" operator="containsText" text="ENTREGADO">
      <formula>NOT(ISERROR(SEARCH("ENTREGADO",R51)))</formula>
    </cfRule>
    <cfRule type="containsText" dxfId="4668" priority="7550" operator="containsText" text="ENTREGADO">
      <formula>NOT(ISERROR(SEARCH("ENTREGADO",R51)))</formula>
    </cfRule>
    <cfRule type="containsText" dxfId="4667" priority="7547" operator="containsText" text="PENDIENTE">
      <formula>NOT(ISERROR(SEARCH("PENDIENTE",R51)))</formula>
    </cfRule>
    <cfRule type="containsText" dxfId="4666" priority="7548" operator="containsText" text="ENTREGADO">
      <formula>NOT(ISERROR(SEARCH("ENTREGADO",R51)))</formula>
    </cfRule>
  </conditionalFormatting>
  <conditionalFormatting sqref="R51:R53">
    <cfRule type="containsText" dxfId="4665" priority="7504" operator="containsText" text="ENTREGADO">
      <formula>NOT(ISERROR(SEARCH("ENTREGADO",R51)))</formula>
    </cfRule>
  </conditionalFormatting>
  <conditionalFormatting sqref="R52:R53">
    <cfRule type="containsText" dxfId="4664" priority="7500" operator="containsText" text="ENTREGADO">
      <formula>NOT(ISERROR(SEARCH("ENTREGADO",R52)))</formula>
    </cfRule>
    <cfRule type="containsText" dxfId="4663" priority="7501" operator="containsText" text="PENDIENTE">
      <formula>NOT(ISERROR(SEARCH("PENDIENTE",R52)))</formula>
    </cfRule>
    <cfRule type="containsText" dxfId="4662" priority="7502" operator="containsText" text="ENTREGADO">
      <formula>NOT(ISERROR(SEARCH("ENTREGADO",R52)))</formula>
    </cfRule>
    <cfRule type="containsText" dxfId="4661" priority="7503" operator="containsText" text="ENTREGADO">
      <formula>NOT(ISERROR(SEARCH("ENTREGADO",R52)))</formula>
    </cfRule>
  </conditionalFormatting>
  <conditionalFormatting sqref="R53">
    <cfRule type="containsText" dxfId="4660" priority="220" operator="containsText" text="ENTREGADO">
      <formula>NOT(ISERROR(SEARCH("ENTREGADO",R53)))</formula>
    </cfRule>
    <cfRule type="containsText" dxfId="4659" priority="218" operator="containsText" text="ENTREGADO">
      <formula>NOT(ISERROR(SEARCH("ENTREGADO",R53)))</formula>
    </cfRule>
    <cfRule type="containsText" dxfId="4658" priority="219" operator="containsText" text="ENTREGADO">
      <formula>NOT(ISERROR(SEARCH("ENTREGADO",R53)))</formula>
    </cfRule>
  </conditionalFormatting>
  <conditionalFormatting sqref="R54">
    <cfRule type="containsText" dxfId="4657" priority="7431" operator="containsText" text="ENTREGADO">
      <formula>NOT(ISERROR(SEARCH("ENTREGADO",R54)))</formula>
    </cfRule>
    <cfRule type="containsText" dxfId="4656" priority="7430" operator="containsText" text="ENTREGADO">
      <formula>NOT(ISERROR(SEARCH("ENTREGADO",R54)))</formula>
    </cfRule>
  </conditionalFormatting>
  <conditionalFormatting sqref="R55">
    <cfRule type="containsText" dxfId="4655" priority="583" operator="containsText" text="ENTREGADO">
      <formula>NOT(ISERROR(SEARCH("ENTREGADO",R55)))</formula>
    </cfRule>
    <cfRule type="containsText" dxfId="4654" priority="587" operator="containsText" text="ENTREGADO">
      <formula>NOT(ISERROR(SEARCH("ENTREGADO",R55)))</formula>
    </cfRule>
    <cfRule type="containsText" dxfId="4653" priority="586" operator="containsText" text="ENTREGADO">
      <formula>NOT(ISERROR(SEARCH("ENTREGADO",R55)))</formula>
    </cfRule>
    <cfRule type="containsText" dxfId="4652" priority="585" operator="containsText" text="ENTREGADO">
      <formula>NOT(ISERROR(SEARCH("ENTREGADO",R55)))</formula>
    </cfRule>
    <cfRule type="containsText" dxfId="4651" priority="584" operator="containsText" text="PENDIENTE">
      <formula>NOT(ISERROR(SEARCH("PENDIENTE",R55)))</formula>
    </cfRule>
  </conditionalFormatting>
  <conditionalFormatting sqref="R56">
    <cfRule type="containsText" dxfId="4650" priority="6941" operator="containsText" text="ENTREGADO">
      <formula>NOT(ISERROR(SEARCH("ENTREGADO",R56)))</formula>
    </cfRule>
    <cfRule type="containsText" dxfId="4649" priority="6940" operator="containsText" text="ENTREGADO">
      <formula>NOT(ISERROR(SEARCH("ENTREGADO",R56)))</formula>
    </cfRule>
    <cfRule type="containsText" dxfId="4648" priority="6938" operator="containsText" text="PENDIENTE">
      <formula>NOT(ISERROR(SEARCH("PENDIENTE",R56)))</formula>
    </cfRule>
    <cfRule type="containsText" dxfId="4647" priority="6939" operator="containsText" text="ENTREGADO">
      <formula>NOT(ISERROR(SEARCH("ENTREGADO",R56)))</formula>
    </cfRule>
    <cfRule type="containsText" dxfId="4646" priority="6937" operator="containsText" text="ENTREGADO">
      <formula>NOT(ISERROR(SEARCH("ENTREGADO",R56)))</formula>
    </cfRule>
  </conditionalFormatting>
  <conditionalFormatting sqref="R56:R59">
    <cfRule type="containsText" dxfId="4645" priority="3490" operator="containsText" text="PRIORIDAD">
      <formula>NOT(ISERROR(SEARCH("PRIORIDAD",R56)))</formula>
    </cfRule>
  </conditionalFormatting>
  <conditionalFormatting sqref="R57">
    <cfRule type="containsText" dxfId="4644" priority="7496" operator="containsText" text="ENTREGADO">
      <formula>NOT(ISERROR(SEARCH("ENTREGADO",R57)))</formula>
    </cfRule>
    <cfRule type="containsText" dxfId="4643" priority="7497" operator="containsText" text="ENTREGADO">
      <formula>NOT(ISERROR(SEARCH("ENTREGADO",R57)))</formula>
    </cfRule>
    <cfRule type="containsText" dxfId="4642" priority="7498" operator="containsText" text="ENTREGADO">
      <formula>NOT(ISERROR(SEARCH("ENTREGADO",R57)))</formula>
    </cfRule>
    <cfRule type="containsText" dxfId="4641" priority="7495" operator="containsText" text="PENDIENTE">
      <formula>NOT(ISERROR(SEARCH("PENDIENTE",R57)))</formula>
    </cfRule>
  </conditionalFormatting>
  <conditionalFormatting sqref="R57:R58">
    <cfRule type="containsText" dxfId="4640" priority="7486" operator="containsText" text="ENTREGADO">
      <formula>NOT(ISERROR(SEARCH("ENTREGADO",R57)))</formula>
    </cfRule>
  </conditionalFormatting>
  <conditionalFormatting sqref="R58 R62">
    <cfRule type="containsText" dxfId="4639" priority="7485" operator="containsText" text="ENTREGADO">
      <formula>NOT(ISERROR(SEARCH("ENTREGADO",R58)))</formula>
    </cfRule>
  </conditionalFormatting>
  <conditionalFormatting sqref="R58">
    <cfRule type="containsText" dxfId="4638" priority="7484" operator="containsText" text="ENTREGADO">
      <formula>NOT(ISERROR(SEARCH("ENTREGADO",R58)))</formula>
    </cfRule>
  </conditionalFormatting>
  <conditionalFormatting sqref="R59">
    <cfRule type="containsText" dxfId="4637" priority="3500" operator="containsText" text="ENTREGADO">
      <formula>NOT(ISERROR(SEARCH("ENTREGADO",R59)))</formula>
    </cfRule>
    <cfRule type="containsText" dxfId="4636" priority="3502" operator="containsText" text="ENTREGADO">
      <formula>NOT(ISERROR(SEARCH("ENTREGADO",R59)))</formula>
    </cfRule>
    <cfRule type="containsText" dxfId="4635" priority="3501" operator="containsText" text="ENTREGADO">
      <formula>NOT(ISERROR(SEARCH("ENTREGADO",R59)))</formula>
    </cfRule>
    <cfRule type="containsText" dxfId="4634" priority="3499" operator="containsText" text="PENDIENTE">
      <formula>NOT(ISERROR(SEARCH("PENDIENTE",R59)))</formula>
    </cfRule>
    <cfRule type="containsText" dxfId="4633" priority="3498" operator="containsText" text="ENTREGADO">
      <formula>NOT(ISERROR(SEARCH("ENTREGADO",R59)))</formula>
    </cfRule>
  </conditionalFormatting>
  <conditionalFormatting sqref="R60">
    <cfRule type="containsText" dxfId="4632" priority="4669" operator="containsText" text="ENTREGADO">
      <formula>NOT(ISERROR(SEARCH("ENTREGADO",R60)))</formula>
    </cfRule>
    <cfRule type="containsText" dxfId="4631" priority="4668" operator="containsText" text="ENTREGADO">
      <formula>NOT(ISERROR(SEARCH("ENTREGADO",R60)))</formula>
    </cfRule>
    <cfRule type="containsText" dxfId="4630" priority="4667" operator="containsText" text="ENTREGADO">
      <formula>NOT(ISERROR(SEARCH("ENTREGADO",R60)))</formula>
    </cfRule>
  </conditionalFormatting>
  <conditionalFormatting sqref="R61">
    <cfRule type="containsText" dxfId="4629" priority="4530" operator="containsText" text="ENTREGADO">
      <formula>NOT(ISERROR(SEARCH("ENTREGADO",R61)))</formula>
    </cfRule>
    <cfRule type="containsText" dxfId="4628" priority="4529" operator="containsText" text="ENTREGADO">
      <formula>NOT(ISERROR(SEARCH("ENTREGADO",R61)))</formula>
    </cfRule>
    <cfRule type="containsText" dxfId="4627" priority="4528" operator="containsText" text="ENTREGADO">
      <formula>NOT(ISERROR(SEARCH("ENTREGADO",R61)))</formula>
    </cfRule>
  </conditionalFormatting>
  <conditionalFormatting sqref="R62">
    <cfRule type="containsText" dxfId="4626" priority="7760" operator="containsText" text="PENDIENTE">
      <formula>NOT(ISERROR(SEARCH("PENDIENTE",R62)))</formula>
    </cfRule>
    <cfRule type="containsText" dxfId="4625" priority="7761" operator="containsText" text="ENTREGADO">
      <formula>NOT(ISERROR(SEARCH("ENTREGADO",R62)))</formula>
    </cfRule>
  </conditionalFormatting>
  <conditionalFormatting sqref="R62:R67">
    <cfRule type="containsText" dxfId="4624" priority="7766" operator="containsText" text="PRIORIDAD">
      <formula>NOT(ISERROR(SEARCH("PRIORIDAD",R62)))</formula>
    </cfRule>
  </conditionalFormatting>
  <conditionalFormatting sqref="R63:R70">
    <cfRule type="containsText" dxfId="4623" priority="5792" operator="containsText" text="ENTREGADO">
      <formula>NOT(ISERROR(SEARCH("ENTREGADO",R63)))</formula>
    </cfRule>
    <cfRule type="containsText" dxfId="4622" priority="5793" operator="containsText" text="PENDIENTE">
      <formula>NOT(ISERROR(SEARCH("PENDIENTE",R63)))</formula>
    </cfRule>
  </conditionalFormatting>
  <conditionalFormatting sqref="R70">
    <cfRule type="containsText" dxfId="4621" priority="5794" operator="containsText" text="ENTREGADO">
      <formula>NOT(ISERROR(SEARCH("ENTREGADO",R70)))</formula>
    </cfRule>
  </conditionalFormatting>
  <conditionalFormatting sqref="R71 R63:R69">
    <cfRule type="containsText" dxfId="4620" priority="7368" operator="containsText" text="ENTREGADO">
      <formula>NOT(ISERROR(SEARCH("ENTREGADO",R63)))</formula>
    </cfRule>
  </conditionalFormatting>
  <conditionalFormatting sqref="R71">
    <cfRule type="containsText" dxfId="4619" priority="7515" operator="containsText" text="ENTREGADO">
      <formula>NOT(ISERROR(SEARCH("ENTREGADO",R71)))</formula>
    </cfRule>
    <cfRule type="containsText" dxfId="4618" priority="7516" operator="containsText" text="ENTREGADO">
      <formula>NOT(ISERROR(SEARCH("ENTREGADO",R71)))</formula>
    </cfRule>
    <cfRule type="containsText" dxfId="4617" priority="7513" operator="containsText" text="PENDIENTE">
      <formula>NOT(ISERROR(SEARCH("PENDIENTE",R71)))</formula>
    </cfRule>
    <cfRule type="containsText" dxfId="4616" priority="7514" operator="containsText" text="ENTREGADO">
      <formula>NOT(ISERROR(SEARCH("ENTREGADO",R71)))</formula>
    </cfRule>
  </conditionalFormatting>
  <conditionalFormatting sqref="R72">
    <cfRule type="containsText" dxfId="4615" priority="6664" operator="containsText" text="ENTREGADO">
      <formula>NOT(ISERROR(SEARCH("ENTREGADO",R72)))</formula>
    </cfRule>
    <cfRule type="containsText" dxfId="4614" priority="6663" operator="containsText" text="ENTREGADO">
      <formula>NOT(ISERROR(SEARCH("ENTREGADO",R72)))</formula>
    </cfRule>
    <cfRule type="containsText" dxfId="4613" priority="6661" operator="containsText" text="PENDIENTE">
      <formula>NOT(ISERROR(SEARCH("PENDIENTE",R72)))</formula>
    </cfRule>
    <cfRule type="containsText" dxfId="4612" priority="6665" operator="containsText" text="PRIORIDAD">
      <formula>NOT(ISERROR(SEARCH("PRIORIDAD",R72)))</formula>
    </cfRule>
    <cfRule type="containsText" dxfId="4611" priority="6662" operator="containsText" text="ENTREGADO">
      <formula>NOT(ISERROR(SEARCH("ENTREGADO",R72)))</formula>
    </cfRule>
  </conditionalFormatting>
  <conditionalFormatting sqref="R72:R73">
    <cfRule type="containsText" dxfId="4610" priority="6537" operator="containsText" text="ENTREGADO">
      <formula>NOT(ISERROR(SEARCH("ENTREGADO",R72)))</formula>
    </cfRule>
  </conditionalFormatting>
  <conditionalFormatting sqref="R73">
    <cfRule type="containsText" dxfId="4609" priority="6538" operator="containsText" text="PRIORIDAD">
      <formula>NOT(ISERROR(SEARCH("PRIORIDAD",R73)))</formula>
    </cfRule>
    <cfRule type="containsText" dxfId="4608" priority="6535" operator="containsText" text="ENTREGADO">
      <formula>NOT(ISERROR(SEARCH("ENTREGADO",R73)))</formula>
    </cfRule>
    <cfRule type="containsText" dxfId="4607" priority="6536" operator="containsText" text="ENTREGADO">
      <formula>NOT(ISERROR(SEARCH("ENTREGADO",R73)))</formula>
    </cfRule>
  </conditionalFormatting>
  <conditionalFormatting sqref="R74">
    <cfRule type="containsText" dxfId="4606" priority="6416" operator="containsText" text="ENTREGADO">
      <formula>NOT(ISERROR(SEARCH("ENTREGADO",R74)))</formula>
    </cfRule>
    <cfRule type="containsText" dxfId="4605" priority="6418" operator="containsText" text="PRIORIDAD">
      <formula>NOT(ISERROR(SEARCH("PRIORIDAD",R74)))</formula>
    </cfRule>
    <cfRule type="containsText" dxfId="4604" priority="6417" operator="containsText" text="ENTREGADO">
      <formula>NOT(ISERROR(SEARCH("ENTREGADO",R74)))</formula>
    </cfRule>
    <cfRule type="containsText" dxfId="4603" priority="6415" operator="containsText" text="ENTREGADO">
      <formula>NOT(ISERROR(SEARCH("ENTREGADO",R74)))</formula>
    </cfRule>
  </conditionalFormatting>
  <conditionalFormatting sqref="R75">
    <cfRule type="containsText" dxfId="4602" priority="4808" operator="containsText" text="ENTREGADO">
      <formula>NOT(ISERROR(SEARCH("ENTREGADO",R75)))</formula>
    </cfRule>
    <cfRule type="containsText" dxfId="4601" priority="4807" operator="containsText" text="ENTREGADO">
      <formula>NOT(ISERROR(SEARCH("ENTREGADO",R75)))</formula>
    </cfRule>
    <cfRule type="containsText" dxfId="4600" priority="4806" operator="containsText" text="ENTREGADO">
      <formula>NOT(ISERROR(SEARCH("ENTREGADO",R75)))</formula>
    </cfRule>
  </conditionalFormatting>
  <conditionalFormatting sqref="R76 R80:R81 R83:R84">
    <cfRule type="containsText" dxfId="4599" priority="2917" operator="containsText" text="ENTREGADO">
      <formula>NOT(ISERROR(SEARCH("ENTREGADO",R76)))</formula>
    </cfRule>
    <cfRule type="containsText" dxfId="4598" priority="2919" operator="containsText" text="ENTREGADO">
      <formula>NOT(ISERROR(SEARCH("ENTREGADO",R76)))</formula>
    </cfRule>
    <cfRule type="containsText" dxfId="4597" priority="2918" operator="containsText" text="ENTREGADO">
      <formula>NOT(ISERROR(SEARCH("ENTREGADO",R76)))</formula>
    </cfRule>
  </conditionalFormatting>
  <conditionalFormatting sqref="R77">
    <cfRule type="containsText" dxfId="4596" priority="2035" operator="containsText" text="ENTREGADO">
      <formula>NOT(ISERROR(SEARCH("ENTREGADO",R77)))</formula>
    </cfRule>
    <cfRule type="containsText" dxfId="4595" priority="2034" operator="containsText" text="ENTREGADO">
      <formula>NOT(ISERROR(SEARCH("ENTREGADO",R77)))</formula>
    </cfRule>
    <cfRule type="containsText" dxfId="4594" priority="2033" operator="containsText" text="PENDIENTE">
      <formula>NOT(ISERROR(SEARCH("PENDIENTE",R77)))</formula>
    </cfRule>
    <cfRule type="containsText" dxfId="4593" priority="2038" operator="containsText" text="ENTREGADO">
      <formula>NOT(ISERROR(SEARCH("ENTREGADO",R77)))</formula>
    </cfRule>
    <cfRule type="containsText" dxfId="4592" priority="2036" operator="containsText" text="ENTREGADO">
      <formula>NOT(ISERROR(SEARCH("ENTREGADO",R77)))</formula>
    </cfRule>
    <cfRule type="containsText" dxfId="4591" priority="2045" operator="containsText" text="ENTREGADO">
      <formula>NOT(ISERROR(SEARCH("ENTREGADO",R77)))</formula>
    </cfRule>
    <cfRule type="containsText" dxfId="4590" priority="2046" operator="containsText" text="ENTREGADO">
      <formula>NOT(ISERROR(SEARCH("ENTREGADO",R77)))</formula>
    </cfRule>
    <cfRule type="containsText" dxfId="4589" priority="2031" operator="containsText" text="ENTREGADO">
      <formula>NOT(ISERROR(SEARCH("ENTREGADO",R77)))</formula>
    </cfRule>
    <cfRule type="containsText" dxfId="4588" priority="2047" operator="containsText" text="PENDIENTE">
      <formula>NOT(ISERROR(SEARCH("PENDIENTE",R77)))</formula>
    </cfRule>
    <cfRule type="containsText" dxfId="4587" priority="2032" operator="containsText" text="PRIORIDAD">
      <formula>NOT(ISERROR(SEARCH("PRIORIDAD",R77)))</formula>
    </cfRule>
    <cfRule type="containsText" dxfId="4586" priority="2037" operator="containsText" text="PENDIENTE">
      <formula>NOT(ISERROR(SEARCH("PENDIENTE",R77)))</formula>
    </cfRule>
    <cfRule type="containsText" dxfId="4585" priority="2044" operator="containsText" text="ENTREGADO">
      <formula>NOT(ISERROR(SEARCH("ENTREGADO",R77)))</formula>
    </cfRule>
    <cfRule type="containsText" dxfId="4584" priority="2039" operator="containsText" text="ENTREGADO">
      <formula>NOT(ISERROR(SEARCH("ENTREGADO",R77)))</formula>
    </cfRule>
    <cfRule type="containsText" dxfId="4583" priority="2043" operator="containsText" text="PENDIENTE">
      <formula>NOT(ISERROR(SEARCH("PENDIENTE",R77)))</formula>
    </cfRule>
    <cfRule type="containsText" dxfId="4582" priority="2042" operator="containsText" text="PRIORIDAD">
      <formula>NOT(ISERROR(SEARCH("PRIORIDAD",R77)))</formula>
    </cfRule>
    <cfRule type="containsText" dxfId="4581" priority="2041" operator="containsText" text="ENTREGADO">
      <formula>NOT(ISERROR(SEARCH("ENTREGADO",R77)))</formula>
    </cfRule>
    <cfRule type="containsText" dxfId="4580" priority="2040" operator="containsText" text="PENDIENTE">
      <formula>NOT(ISERROR(SEARCH("PENDIENTE",R77)))</formula>
    </cfRule>
  </conditionalFormatting>
  <conditionalFormatting sqref="R78">
    <cfRule type="containsText" dxfId="4579" priority="1612" operator="containsText" text="ENTREGADO">
      <formula>NOT(ISERROR(SEARCH("ENTREGADO",R78)))</formula>
    </cfRule>
    <cfRule type="containsText" dxfId="4578" priority="1611" operator="containsText" text="ENTREGADO">
      <formula>NOT(ISERROR(SEARCH("ENTREGADO",R78)))</formula>
    </cfRule>
    <cfRule type="containsText" dxfId="4577" priority="1613" operator="containsText" text="ENTREGADO">
      <formula>NOT(ISERROR(SEARCH("ENTREGADO",R78)))</formula>
    </cfRule>
  </conditionalFormatting>
  <conditionalFormatting sqref="R78:R79">
    <cfRule type="containsText" dxfId="4576" priority="1537" operator="containsText" text="PRIORIDAD">
      <formula>NOT(ISERROR(SEARCH("PRIORIDAD",R78)))</formula>
    </cfRule>
  </conditionalFormatting>
  <conditionalFormatting sqref="R79">
    <cfRule type="containsText" dxfId="4575" priority="1449" operator="containsText" text="ENTREGADO">
      <formula>NOT(ISERROR(SEARCH("ENTREGADO",R79)))</formula>
    </cfRule>
    <cfRule type="containsText" dxfId="4574" priority="1450" operator="containsText" text="PENDIENTE">
      <formula>NOT(ISERROR(SEARCH("PENDIENTE",R79)))</formula>
    </cfRule>
    <cfRule type="containsText" dxfId="4573" priority="1525" operator="containsText" text="ENTREGADO">
      <formula>NOT(ISERROR(SEARCH("ENTREGADO",R79)))</formula>
    </cfRule>
  </conditionalFormatting>
  <conditionalFormatting sqref="R82">
    <cfRule type="containsText" dxfId="4572" priority="1354" operator="containsText" text="ENTREGADO">
      <formula>NOT(ISERROR(SEARCH("ENTREGADO",R82)))</formula>
    </cfRule>
    <cfRule type="containsText" dxfId="4571" priority="1352" operator="containsText" text="PENDIENTE">
      <formula>NOT(ISERROR(SEARCH("PENDIENTE",R82)))</formula>
    </cfRule>
    <cfRule type="containsText" dxfId="4570" priority="1353" operator="containsText" text="ENTREGADO">
      <formula>NOT(ISERROR(SEARCH("ENTREGADO",R82)))</formula>
    </cfRule>
    <cfRule type="containsText" dxfId="4569" priority="1355" operator="containsText" text="ENTREGADO">
      <formula>NOT(ISERROR(SEARCH("ENTREGADO",R82)))</formula>
    </cfRule>
    <cfRule type="containsText" dxfId="4568" priority="1351" operator="containsText" text="ENTREGADO">
      <formula>NOT(ISERROR(SEARCH("ENTREGADO",R82)))</formula>
    </cfRule>
  </conditionalFormatting>
  <conditionalFormatting sqref="R85">
    <cfRule type="containsText" dxfId="4567" priority="2661" operator="containsText" text="ENTREGADO">
      <formula>NOT(ISERROR(SEARCH("ENTREGADO",R85)))</formula>
    </cfRule>
    <cfRule type="containsText" dxfId="4566" priority="2660" operator="containsText" text="ENTREGADO">
      <formula>NOT(ISERROR(SEARCH("ENTREGADO",R85)))</formula>
    </cfRule>
    <cfRule type="containsText" dxfId="4565" priority="2659" operator="containsText" text="ENTREGADO">
      <formula>NOT(ISERROR(SEARCH("ENTREGADO",R85)))</formula>
    </cfRule>
  </conditionalFormatting>
  <conditionalFormatting sqref="R86">
    <cfRule type="containsText" dxfId="4564" priority="2506" operator="containsText" text="ENTREGADO">
      <formula>NOT(ISERROR(SEARCH("ENTREGADO",R86)))</formula>
    </cfRule>
    <cfRule type="containsText" dxfId="4563" priority="2505" operator="containsText" text="ENTREGADO">
      <formula>NOT(ISERROR(SEARCH("ENTREGADO",R86)))</formula>
    </cfRule>
    <cfRule type="containsText" dxfId="4562" priority="2504" operator="containsText" text="ENTREGADO">
      <formula>NOT(ISERROR(SEARCH("ENTREGADO",R86)))</formula>
    </cfRule>
    <cfRule type="containsText" dxfId="4561" priority="2503" operator="containsText" text="PENDIENTE">
      <formula>NOT(ISERROR(SEARCH("PENDIENTE",R86)))</formula>
    </cfRule>
    <cfRule type="containsText" dxfId="4560" priority="2502" operator="containsText" text="ENTREGADO">
      <formula>NOT(ISERROR(SEARCH("ENTREGADO",R86)))</formula>
    </cfRule>
  </conditionalFormatting>
  <conditionalFormatting sqref="R87">
    <cfRule type="containsText" dxfId="4559" priority="2373" operator="containsText" text="ENTREGADO">
      <formula>NOT(ISERROR(SEARCH("ENTREGADO",R87)))</formula>
    </cfRule>
    <cfRule type="containsText" dxfId="4558" priority="2377" operator="containsText" text="ENTREGADO">
      <formula>NOT(ISERROR(SEARCH("ENTREGADO",R87)))</formula>
    </cfRule>
    <cfRule type="containsText" dxfId="4557" priority="2375" operator="containsText" text="ENTREGADO">
      <formula>NOT(ISERROR(SEARCH("ENTREGADO",R87)))</formula>
    </cfRule>
    <cfRule type="containsText" dxfId="4556" priority="2374" operator="containsText" text="PENDIENTE">
      <formula>NOT(ISERROR(SEARCH("PENDIENTE",R87)))</formula>
    </cfRule>
    <cfRule type="containsText" dxfId="4555" priority="2376" operator="containsText" text="ENTREGADO">
      <formula>NOT(ISERROR(SEARCH("ENTREGADO",R87)))</formula>
    </cfRule>
  </conditionalFormatting>
  <conditionalFormatting sqref="R88">
    <cfRule type="containsText" dxfId="4554" priority="2246" operator="containsText" text="ENTREGADO">
      <formula>NOT(ISERROR(SEARCH("ENTREGADO",R88)))</formula>
    </cfRule>
    <cfRule type="containsText" dxfId="4553" priority="2248" operator="containsText" text="ENTREGADO">
      <formula>NOT(ISERROR(SEARCH("ENTREGADO",R88)))</formula>
    </cfRule>
    <cfRule type="containsText" dxfId="4552" priority="2247" operator="containsText" text="ENTREGADO">
      <formula>NOT(ISERROR(SEARCH("ENTREGADO",R88)))</formula>
    </cfRule>
  </conditionalFormatting>
  <conditionalFormatting sqref="R89">
    <cfRule type="containsText" dxfId="4551" priority="1863" operator="containsText" text="ENTREGADO">
      <formula>NOT(ISERROR(SEARCH("ENTREGADO",R89)))</formula>
    </cfRule>
    <cfRule type="containsText" dxfId="4550" priority="1865" operator="containsText" text="ENTREGADO">
      <formula>NOT(ISERROR(SEARCH("ENTREGADO",R89)))</formula>
    </cfRule>
    <cfRule type="containsText" dxfId="4549" priority="1864" operator="containsText" text="PENDIENTE">
      <formula>NOT(ISERROR(SEARCH("PENDIENTE",R89)))</formula>
    </cfRule>
    <cfRule type="containsText" dxfId="4548" priority="1867" operator="containsText" text="ENTREGADO">
      <formula>NOT(ISERROR(SEARCH("ENTREGADO",R89)))</formula>
    </cfRule>
    <cfRule type="containsText" dxfId="4547" priority="1866" operator="containsText" text="ENTREGADO">
      <formula>NOT(ISERROR(SEARCH("ENTREGADO",R89)))</formula>
    </cfRule>
  </conditionalFormatting>
  <conditionalFormatting sqref="R90">
    <cfRule type="containsText" dxfId="4546" priority="1188" operator="containsText" text="ENTREGADO">
      <formula>NOT(ISERROR(SEARCH("ENTREGADO",R90)))</formula>
    </cfRule>
    <cfRule type="containsText" dxfId="4545" priority="1191" operator="containsText" text="ENTREGADO">
      <formula>NOT(ISERROR(SEARCH("ENTREGADO",R90)))</formula>
    </cfRule>
    <cfRule type="containsText" dxfId="4544" priority="1190" operator="containsText" text="ENTREGADO">
      <formula>NOT(ISERROR(SEARCH("ENTREGADO",R90)))</formula>
    </cfRule>
    <cfRule type="containsText" dxfId="4543" priority="1189" operator="containsText" text="PENDIENTE">
      <formula>NOT(ISERROR(SEARCH("PENDIENTE",R90)))</formula>
    </cfRule>
    <cfRule type="containsText" dxfId="4542" priority="1192" operator="containsText" text="ENTREGADO">
      <formula>NOT(ISERROR(SEARCH("ENTREGADO",R90)))</formula>
    </cfRule>
  </conditionalFormatting>
  <conditionalFormatting sqref="R91">
    <cfRule type="containsText" dxfId="4541" priority="1011" operator="containsText" text="ENTREGADO">
      <formula>NOT(ISERROR(SEARCH("ENTREGADO",R91)))</formula>
    </cfRule>
    <cfRule type="containsText" dxfId="4540" priority="1010" operator="containsText" text="ENTREGADO">
      <formula>NOT(ISERROR(SEARCH("ENTREGADO",R91)))</formula>
    </cfRule>
    <cfRule type="containsText" dxfId="4539" priority="1009" operator="containsText" text="PENDIENTE">
      <formula>NOT(ISERROR(SEARCH("PENDIENTE",R91)))</formula>
    </cfRule>
    <cfRule type="containsText" dxfId="4538" priority="1008" operator="containsText" text="ENTREGADO">
      <formula>NOT(ISERROR(SEARCH("ENTREGADO",R91)))</formula>
    </cfRule>
    <cfRule type="containsText" dxfId="4537" priority="1012" operator="containsText" text="ENTREGADO">
      <formula>NOT(ISERROR(SEARCH("ENTREGADO",R91)))</formula>
    </cfRule>
  </conditionalFormatting>
  <conditionalFormatting sqref="R92">
    <cfRule type="containsText" dxfId="4536" priority="870" operator="containsText" text="ENTREGADO">
      <formula>NOT(ISERROR(SEARCH("ENTREGADO",R92)))</formula>
    </cfRule>
    <cfRule type="containsText" dxfId="4535" priority="869" operator="containsText" text="ENTREGADO">
      <formula>NOT(ISERROR(SEARCH("ENTREGADO",R92)))</formula>
    </cfRule>
    <cfRule type="containsText" dxfId="4534" priority="871" operator="containsText" text="ENTREGADO">
      <formula>NOT(ISERROR(SEARCH("ENTREGADO",R92)))</formula>
    </cfRule>
    <cfRule type="containsText" dxfId="4533" priority="867" operator="containsText" text="ENTREGADO">
      <formula>NOT(ISERROR(SEARCH("ENTREGADO",R92)))</formula>
    </cfRule>
    <cfRule type="containsText" dxfId="4532" priority="868" operator="containsText" text="PENDIENTE">
      <formula>NOT(ISERROR(SEARCH("PENDIENTE",R92)))</formula>
    </cfRule>
  </conditionalFormatting>
  <conditionalFormatting sqref="R5:S5">
    <cfRule type="containsText" dxfId="4531" priority="7630" operator="containsText" text="PENDIENTE">
      <formula>NOT(ISERROR(SEARCH("PENDIENTE",R5)))</formula>
    </cfRule>
  </conditionalFormatting>
  <conditionalFormatting sqref="R24:S26 A27 P27">
    <cfRule type="containsText" dxfId="4530" priority="12308" operator="containsText" text="PENDIENTE">
      <formula>NOT(ISERROR(SEARCH("PENDIENTE",A24)))</formula>
    </cfRule>
  </conditionalFormatting>
  <conditionalFormatting sqref="R40:S40">
    <cfRule type="containsText" dxfId="4529" priority="7098" operator="containsText" text="PENDIENTE">
      <formula>NOT(ISERROR(SEARCH("PENDIENTE",R40)))</formula>
    </cfRule>
    <cfRule type="containsText" dxfId="4528" priority="7097" operator="containsText" text="ENTREGADO">
      <formula>NOT(ISERROR(SEARCH("ENTREGADO",R40)))</formula>
    </cfRule>
  </conditionalFormatting>
  <conditionalFormatting sqref="R41:S41">
    <cfRule type="containsText" dxfId="4527" priority="3733" operator="containsText" text="ENTREGADO">
      <formula>NOT(ISERROR(SEARCH("ENTREGADO",R41)))</formula>
    </cfRule>
  </conditionalFormatting>
  <conditionalFormatting sqref="R77:S77">
    <cfRule type="containsText" dxfId="4526" priority="2048" operator="containsText" text="ENTREGADO">
      <formula>NOT(ISERROR(SEARCH("ENTREGADO",R77)))</formula>
    </cfRule>
  </conditionalFormatting>
  <conditionalFormatting sqref="R27:T27">
    <cfRule type="containsText" dxfId="4525" priority="7573" operator="containsText" text="PENDIENTE">
      <formula>NOT(ISERROR(SEARCH("PENDIENTE",R27)))</formula>
    </cfRule>
  </conditionalFormatting>
  <conditionalFormatting sqref="R39:T39">
    <cfRule type="containsText" dxfId="4524" priority="4084" operator="containsText" text="PENDIENTE">
      <formula>NOT(ISERROR(SEARCH("PENDIENTE",R39)))</formula>
    </cfRule>
  </conditionalFormatting>
  <conditionalFormatting sqref="S3">
    <cfRule type="containsText" dxfId="4523" priority="21141" operator="containsText" text="TOLUCA">
      <formula>NOT(ISERROR(SEARCH("TOLUCA",S3)))</formula>
    </cfRule>
    <cfRule type="containsText" dxfId="4522" priority="21146" operator="containsText" text="LAREDO">
      <formula>NOT(ISERROR(SEARCH("LAREDO",S3)))</formula>
    </cfRule>
    <cfRule type="containsText" dxfId="4521" priority="21142" operator="containsText" text="ENTREGADO">
      <formula>NOT(ISERROR(SEARCH("ENTREGADO",S3)))</formula>
    </cfRule>
    <cfRule type="containsText" dxfId="4520" priority="21143" operator="containsText" text="DRAGON">
      <formula>NOT(ISERROR(SEARCH("DRAGON",S3)))</formula>
    </cfRule>
    <cfRule type="containsText" dxfId="4519" priority="21144" operator="containsText" text="AIFA">
      <formula>NOT(ISERROR(SEARCH("AIFA",S3)))</formula>
    </cfRule>
    <cfRule type="containsText" dxfId="4518" priority="21145" operator="containsText" text="AICM">
      <formula>NOT(ISERROR(SEARCH("AICM",S3)))</formula>
    </cfRule>
    <cfRule type="containsText" dxfId="4517" priority="21147" operator="containsText" text="TOLUCA">
      <formula>NOT(ISERROR(SEARCH("TOLUCA",S3)))</formula>
    </cfRule>
    <cfRule type="containsText" dxfId="4516" priority="21148" operator="containsText" text="MANZANILLO">
      <formula>NOT(ISERROR(SEARCH("MANZANILLO",S3)))</formula>
    </cfRule>
    <cfRule type="containsText" dxfId="4515" priority="21149" operator="containsText" text="VERACRUZ">
      <formula>NOT(ISERROR(SEARCH("VERACRUZ",S3)))</formula>
    </cfRule>
  </conditionalFormatting>
  <conditionalFormatting sqref="S4">
    <cfRule type="containsText" dxfId="4514" priority="18774" operator="containsText" text="PENDIENTE">
      <formula>NOT(ISERROR(SEARCH("PENDIENTE",S4)))</formula>
    </cfRule>
    <cfRule type="containsText" dxfId="4513" priority="18773" operator="containsText" text="ENTREGADO">
      <formula>NOT(ISERROR(SEARCH("ENTREGADO",S4)))</formula>
    </cfRule>
    <cfRule type="containsText" dxfId="4512" priority="18772" operator="containsText" text="ENTREGADO">
      <formula>NOT(ISERROR(SEARCH("ENTREGADO",S4)))</formula>
    </cfRule>
    <cfRule type="containsText" dxfId="4511" priority="18766" operator="containsText" text="ENTREGADO">
      <formula>NOT(ISERROR(SEARCH("ENTREGADO",S4)))</formula>
    </cfRule>
    <cfRule type="containsText" dxfId="4510" priority="18771" operator="containsText" text="PENDIENTE">
      <formula>NOT(ISERROR(SEARCH("PENDIENTE",S4)))</formula>
    </cfRule>
    <cfRule type="containsText" dxfId="4509" priority="18787" operator="containsText" text="ENTREGADO">
      <formula>NOT(ISERROR(SEARCH("ENTREGADO",S4)))</formula>
    </cfRule>
    <cfRule type="containsText" dxfId="4508" priority="18778" operator="containsText" text="ENTREGADO">
      <formula>NOT(ISERROR(SEARCH("ENTREGADO",S4)))</formula>
    </cfRule>
    <cfRule type="containsText" dxfId="4507" priority="18786" operator="containsText" text="PENDIENTE">
      <formula>NOT(ISERROR(SEARCH("PENDIENTE",S4)))</formula>
    </cfRule>
    <cfRule type="containsText" dxfId="4506" priority="18782" operator="containsText" text="ENTREGADO">
      <formula>NOT(ISERROR(SEARCH("ENTREGADO",S4)))</formula>
    </cfRule>
    <cfRule type="containsText" dxfId="4505" priority="18781" operator="containsText" text="PENDIENTE">
      <formula>NOT(ISERROR(SEARCH("PENDIENTE",S4)))</formula>
    </cfRule>
    <cfRule type="containsText" dxfId="4504" priority="18780" operator="containsText" text="ENTREGADO">
      <formula>NOT(ISERROR(SEARCH("ENTREGADO",S4)))</formula>
    </cfRule>
    <cfRule type="containsText" dxfId="4503" priority="18779" operator="containsText" text="PENDIENTE">
      <formula>NOT(ISERROR(SEARCH("PENDIENTE",S4)))</formula>
    </cfRule>
    <cfRule type="containsText" dxfId="4502" priority="18777" operator="containsText" text="PENDIENTE">
      <formula>NOT(ISERROR(SEARCH("PENDIENTE",S4)))</formula>
    </cfRule>
    <cfRule type="containsText" dxfId="4501" priority="18776" operator="containsText" text="PRIORIDAD">
      <formula>NOT(ISERROR(SEARCH("PRIORIDAD",S4)))</formula>
    </cfRule>
    <cfRule type="containsText" dxfId="4500" priority="18775" operator="containsText" text="ENTREGADO">
      <formula>NOT(ISERROR(SEARCH("ENTREGADO",S4)))</formula>
    </cfRule>
  </conditionalFormatting>
  <conditionalFormatting sqref="S4:S5">
    <cfRule type="containsText" dxfId="4499" priority="10887" operator="containsText" text="PENDIENTE">
      <formula>NOT(ISERROR(SEARCH("PENDIENTE",S4)))</formula>
    </cfRule>
  </conditionalFormatting>
  <conditionalFormatting sqref="S5">
    <cfRule type="containsText" dxfId="4498" priority="10885" operator="containsText" text="PENDIENTE">
      <formula>NOT(ISERROR(SEARCH("PENDIENTE",S5)))</formula>
    </cfRule>
    <cfRule type="containsText" dxfId="4497" priority="10884" operator="containsText" text="ENTREGADO">
      <formula>NOT(ISERROR(SEARCH("ENTREGADO",S5)))</formula>
    </cfRule>
    <cfRule type="containsText" dxfId="4496" priority="10883" operator="containsText" text="PENDIENTE">
      <formula>NOT(ISERROR(SEARCH("PENDIENTE",S5)))</formula>
    </cfRule>
    <cfRule type="containsText" dxfId="4495" priority="10882" operator="containsText" text="ENTREGADO">
      <formula>NOT(ISERROR(SEARCH("ENTREGADO",S5)))</formula>
    </cfRule>
    <cfRule type="containsText" dxfId="4494" priority="10886" operator="containsText" text="ENTREGADO">
      <formula>NOT(ISERROR(SEARCH("ENTREGADO",S5)))</formula>
    </cfRule>
    <cfRule type="containsText" dxfId="4493" priority="10875" operator="containsText" text="PRIORIDAD">
      <formula>NOT(ISERROR(SEARCH("PRIORIDAD",S5)))</formula>
    </cfRule>
    <cfRule type="containsText" dxfId="4492" priority="10873" operator="containsText" text="PENDIENTE">
      <formula>NOT(ISERROR(SEARCH("PENDIENTE",S5)))</formula>
    </cfRule>
    <cfRule type="containsText" dxfId="4491" priority="10872" operator="containsText" text="ENTREGADO">
      <formula>NOT(ISERROR(SEARCH("ENTREGADO",S5)))</formula>
    </cfRule>
    <cfRule type="containsText" dxfId="4490" priority="10874" operator="containsText" text="ENTREGADO">
      <formula>NOT(ISERROR(SEARCH("ENTREGADO",S5)))</formula>
    </cfRule>
    <cfRule type="containsText" dxfId="4489" priority="10871" operator="containsText" text="ENTREGADO">
      <formula>NOT(ISERROR(SEARCH("ENTREGADO",S5)))</formula>
    </cfRule>
    <cfRule type="containsText" dxfId="4488" priority="10876" operator="containsText" text="PENDIENTE">
      <formula>NOT(ISERROR(SEARCH("PENDIENTE",S5)))</formula>
    </cfRule>
    <cfRule type="containsText" dxfId="4487" priority="10879" operator="containsText" text="ENTREGADO">
      <formula>NOT(ISERROR(SEARCH("ENTREGADO",S5)))</formula>
    </cfRule>
    <cfRule type="containsText" dxfId="4486" priority="10878" operator="containsText" text="PENDIENTE">
      <formula>NOT(ISERROR(SEARCH("PENDIENTE",S5)))</formula>
    </cfRule>
    <cfRule type="containsText" dxfId="4485" priority="10870" operator="containsText" text="PENDIENTE">
      <formula>NOT(ISERROR(SEARCH("PENDIENTE",S5)))</formula>
    </cfRule>
    <cfRule type="containsText" dxfId="4484" priority="10880" operator="containsText" text="PENDIENTE">
      <formula>NOT(ISERROR(SEARCH("PENDIENTE",S5)))</formula>
    </cfRule>
    <cfRule type="containsText" dxfId="4483" priority="10881" operator="containsText" text="ENTREGADO">
      <formula>NOT(ISERROR(SEARCH("ENTREGADO",S5)))</formula>
    </cfRule>
    <cfRule type="containsText" dxfId="4482" priority="10877" operator="containsText" text="ENTREGADO">
      <formula>NOT(ISERROR(SEARCH("ENTREGADO",S5)))</formula>
    </cfRule>
  </conditionalFormatting>
  <conditionalFormatting sqref="S5:S6">
    <cfRule type="containsText" dxfId="4481" priority="10815" operator="containsText" text="ENTREGADO">
      <formula>NOT(ISERROR(SEARCH("ENTREGADO",S5)))</formula>
    </cfRule>
  </conditionalFormatting>
  <conditionalFormatting sqref="S6">
    <cfRule type="containsText" dxfId="4480" priority="10822" operator="containsText" text="VERACRUZ">
      <formula>NOT(ISERROR(SEARCH("VERACRUZ",S6)))</formula>
    </cfRule>
    <cfRule type="containsText" dxfId="4479" priority="10816" operator="containsText" text="DRAGON">
      <formula>NOT(ISERROR(SEARCH("DRAGON",S6)))</formula>
    </cfRule>
    <cfRule type="containsText" dxfId="4478" priority="10819" operator="containsText" text="LAREDO">
      <formula>NOT(ISERROR(SEARCH("LAREDO",S6)))</formula>
    </cfRule>
    <cfRule type="containsText" dxfId="4477" priority="10820" operator="containsText" text="TOLUCA">
      <formula>NOT(ISERROR(SEARCH("TOLUCA",S6)))</formula>
    </cfRule>
    <cfRule type="containsText" dxfId="4476" priority="10814" operator="containsText" text="TOLUCA">
      <formula>NOT(ISERROR(SEARCH("TOLUCA",S6)))</formula>
    </cfRule>
    <cfRule type="containsText" dxfId="4475" priority="10821" operator="containsText" text="MANZANILLO">
      <formula>NOT(ISERROR(SEARCH("MANZANILLO",S6)))</formula>
    </cfRule>
    <cfRule type="containsText" dxfId="4474" priority="10818" operator="containsText" text="AICM">
      <formula>NOT(ISERROR(SEARCH("AICM",S6)))</formula>
    </cfRule>
    <cfRule type="containsText" dxfId="4473" priority="10817" operator="containsText" text="AIFA">
      <formula>NOT(ISERROR(SEARCH("AIFA",S6)))</formula>
    </cfRule>
  </conditionalFormatting>
  <conditionalFormatting sqref="S7">
    <cfRule type="containsText" dxfId="4472" priority="7324" operator="containsText" text="LAREDO">
      <formula>NOT(ISERROR(SEARCH("LAREDO",S7)))</formula>
    </cfRule>
    <cfRule type="containsText" dxfId="4471" priority="7322" operator="containsText" text="AIFA">
      <formula>NOT(ISERROR(SEARCH("AIFA",S7)))</formula>
    </cfRule>
    <cfRule type="containsText" dxfId="4470" priority="7321" operator="containsText" text="DRAGON">
      <formula>NOT(ISERROR(SEARCH("DRAGON",S7)))</formula>
    </cfRule>
    <cfRule type="containsText" dxfId="4469" priority="7323" operator="containsText" text="AICM">
      <formula>NOT(ISERROR(SEARCH("AICM",S7)))</formula>
    </cfRule>
    <cfRule type="containsText" dxfId="4468" priority="7320" operator="containsText" text="ENTREGADO">
      <formula>NOT(ISERROR(SEARCH("ENTREGADO",S7)))</formula>
    </cfRule>
    <cfRule type="containsText" dxfId="4467" priority="7319" operator="containsText" text="TOLUCA">
      <formula>NOT(ISERROR(SEARCH("TOLUCA",S7)))</formula>
    </cfRule>
    <cfRule type="containsText" dxfId="4466" priority="7325" operator="containsText" text="TOLUCA">
      <formula>NOT(ISERROR(SEARCH("TOLUCA",S7)))</formula>
    </cfRule>
    <cfRule type="containsText" dxfId="4465" priority="7326" operator="containsText" text="MANZANILLO">
      <formula>NOT(ISERROR(SEARCH("MANZANILLO",S7)))</formula>
    </cfRule>
    <cfRule type="containsText" dxfId="4464" priority="7327" operator="containsText" text="VERACRUZ">
      <formula>NOT(ISERROR(SEARCH("VERACRUZ",S7)))</formula>
    </cfRule>
  </conditionalFormatting>
  <conditionalFormatting sqref="S8">
    <cfRule type="containsText" dxfId="4463" priority="13589" operator="containsText" text="PRIORIDAD">
      <formula>NOT(ISERROR(SEARCH("PRIORIDAD",S8)))</formula>
    </cfRule>
    <cfRule type="containsText" dxfId="4462" priority="13590" operator="containsText" text="ENTREGADO">
      <formula>NOT(ISERROR(SEARCH("ENTREGADO",S8)))</formula>
    </cfRule>
  </conditionalFormatting>
  <conditionalFormatting sqref="S8:S9">
    <cfRule type="containsText" dxfId="4461" priority="9507" operator="containsText" text="ENTREGADO">
      <formula>NOT(ISERROR(SEARCH("ENTREGADO",S8)))</formula>
    </cfRule>
  </conditionalFormatting>
  <conditionalFormatting sqref="S8:S23">
    <cfRule type="containsText" dxfId="4460" priority="6849" operator="containsText" text="ENTREGADO">
      <formula>NOT(ISERROR(SEARCH("ENTREGADO",S8)))</formula>
    </cfRule>
    <cfRule type="containsText" dxfId="4459" priority="6850" operator="containsText" text="PENDIENTE">
      <formula>NOT(ISERROR(SEARCH("PENDIENTE",S8)))</formula>
    </cfRule>
  </conditionalFormatting>
  <conditionalFormatting sqref="S9">
    <cfRule type="containsText" dxfId="4458" priority="9506" operator="containsText" text="PRIORIDAD">
      <formula>NOT(ISERROR(SEARCH("PRIORIDAD",S9)))</formula>
    </cfRule>
  </conditionalFormatting>
  <conditionalFormatting sqref="S10">
    <cfRule type="containsText" dxfId="4457" priority="8142" operator="containsText" text="PRIORIDAD">
      <formula>NOT(ISERROR(SEARCH("PRIORIDAD",S10)))</formula>
    </cfRule>
  </conditionalFormatting>
  <conditionalFormatting sqref="S10:S11">
    <cfRule type="containsText" dxfId="4456" priority="8054" operator="containsText" text="ENTREGADO">
      <formula>NOT(ISERROR(SEARCH("ENTREGADO",S10)))</formula>
    </cfRule>
  </conditionalFormatting>
  <conditionalFormatting sqref="S11">
    <cfRule type="containsText" dxfId="4455" priority="8053" operator="containsText" text="PRIORIDAD">
      <formula>NOT(ISERROR(SEARCH("PRIORIDAD",S11)))</formula>
    </cfRule>
  </conditionalFormatting>
  <conditionalFormatting sqref="S12">
    <cfRule type="containsText" dxfId="4454" priority="8765" operator="containsText" text="PRIORIDAD">
      <formula>NOT(ISERROR(SEARCH("PRIORIDAD",S12)))</formula>
    </cfRule>
  </conditionalFormatting>
  <conditionalFormatting sqref="S12:S13">
    <cfRule type="containsText" dxfId="4453" priority="8677" operator="containsText" text="ENTREGADO">
      <formula>NOT(ISERROR(SEARCH("ENTREGADO",S12)))</formula>
    </cfRule>
  </conditionalFormatting>
  <conditionalFormatting sqref="S13">
    <cfRule type="containsText" dxfId="4452" priority="8676" operator="containsText" text="PRIORIDAD">
      <formula>NOT(ISERROR(SEARCH("PRIORIDAD",S13)))</formula>
    </cfRule>
  </conditionalFormatting>
  <conditionalFormatting sqref="S14">
    <cfRule type="containsText" dxfId="4451" priority="8587" operator="containsText" text="PRIORIDAD">
      <formula>NOT(ISERROR(SEARCH("PRIORIDAD",S14)))</formula>
    </cfRule>
  </conditionalFormatting>
  <conditionalFormatting sqref="S14:S15">
    <cfRule type="containsText" dxfId="4450" priority="8499" operator="containsText" text="ENTREGADO">
      <formula>NOT(ISERROR(SEARCH("ENTREGADO",S14)))</formula>
    </cfRule>
  </conditionalFormatting>
  <conditionalFormatting sqref="S15">
    <cfRule type="containsText" dxfId="4449" priority="8498" operator="containsText" text="PRIORIDAD">
      <formula>NOT(ISERROR(SEARCH("PRIORIDAD",S15)))</formula>
    </cfRule>
  </conditionalFormatting>
  <conditionalFormatting sqref="S16">
    <cfRule type="containsText" dxfId="4448" priority="8409" operator="containsText" text="PRIORIDAD">
      <formula>NOT(ISERROR(SEARCH("PRIORIDAD",S16)))</formula>
    </cfRule>
  </conditionalFormatting>
  <conditionalFormatting sqref="S16:S18">
    <cfRule type="containsText" dxfId="4447" priority="8321" operator="containsText" text="ENTREGADO">
      <formula>NOT(ISERROR(SEARCH("ENTREGADO",S16)))</formula>
    </cfRule>
  </conditionalFormatting>
  <conditionalFormatting sqref="S17">
    <cfRule type="containsText" dxfId="4446" priority="8320" operator="containsText" text="PRIORIDAD">
      <formula>NOT(ISERROR(SEARCH("PRIORIDAD",S17)))</formula>
    </cfRule>
  </conditionalFormatting>
  <conditionalFormatting sqref="S18">
    <cfRule type="containsText" dxfId="4445" priority="10354" operator="containsText" text="PRIORIDAD">
      <formula>NOT(ISERROR(SEARCH("PRIORIDAD",S18)))</formula>
    </cfRule>
  </conditionalFormatting>
  <conditionalFormatting sqref="S19">
    <cfRule type="containsText" dxfId="4444" priority="14396" operator="containsText" text="PRIORIDAD">
      <formula>NOT(ISERROR(SEARCH("PRIORIDAD",S19)))</formula>
    </cfRule>
  </conditionalFormatting>
  <conditionalFormatting sqref="S19:S20">
    <cfRule type="containsText" dxfId="4443" priority="10804" operator="containsText" text="ENTREGADO">
      <formula>NOT(ISERROR(SEARCH("ENTREGADO",S19)))</formula>
    </cfRule>
  </conditionalFormatting>
  <conditionalFormatting sqref="S20">
    <cfRule type="containsText" dxfId="4442" priority="10803" operator="containsText" text="PRIORIDAD">
      <formula>NOT(ISERROR(SEARCH("PRIORIDAD",S20)))</formula>
    </cfRule>
  </conditionalFormatting>
  <conditionalFormatting sqref="S20:S21">
    <cfRule type="containsText" dxfId="4441" priority="10798" operator="containsText" text="ENTREGADO">
      <formula>NOT(ISERROR(SEARCH("ENTREGADO",S20)))</formula>
    </cfRule>
  </conditionalFormatting>
  <conditionalFormatting sqref="S21">
    <cfRule type="containsText" dxfId="4440" priority="10797" operator="containsText" text="PRIORIDAD">
      <formula>NOT(ISERROR(SEARCH("PRIORIDAD",S21)))</formula>
    </cfRule>
  </conditionalFormatting>
  <conditionalFormatting sqref="S21:S22">
    <cfRule type="containsText" dxfId="4439" priority="10700" operator="containsText" text="ENTREGADO">
      <formula>NOT(ISERROR(SEARCH("ENTREGADO",S21)))</formula>
    </cfRule>
  </conditionalFormatting>
  <conditionalFormatting sqref="S22">
    <cfRule type="containsText" dxfId="4438" priority="10605" operator="containsText" text="ENTREGADO">
      <formula>NOT(ISERROR(SEARCH("ENTREGADO",S22)))</formula>
    </cfRule>
    <cfRule type="containsText" dxfId="4437" priority="10699" operator="containsText" text="PRIORIDAD">
      <formula>NOT(ISERROR(SEARCH("PRIORIDAD",S22)))</formula>
    </cfRule>
  </conditionalFormatting>
  <conditionalFormatting sqref="S23">
    <cfRule type="containsText" dxfId="4436" priority="6860" operator="containsText" text="ENTREGADO">
      <formula>NOT(ISERROR(SEARCH("ENTREGADO",S23)))</formula>
    </cfRule>
    <cfRule type="containsText" dxfId="4435" priority="6861" operator="containsText" text="PRIORIDAD">
      <formula>NOT(ISERROR(SEARCH("PRIORIDAD",S23)))</formula>
    </cfRule>
  </conditionalFormatting>
  <conditionalFormatting sqref="S23:S26">
    <cfRule type="containsText" dxfId="4434" priority="6862" operator="containsText" text="ENTREGADO">
      <formula>NOT(ISERROR(SEARCH("ENTREGADO",S23)))</formula>
    </cfRule>
  </conditionalFormatting>
  <conditionalFormatting sqref="S27">
    <cfRule type="containsText" dxfId="4433" priority="12162" operator="containsText" text="AICM">
      <formula>NOT(ISERROR(SEARCH("AICM",S27)))</formula>
    </cfRule>
    <cfRule type="containsText" dxfId="4432" priority="12161" operator="containsText" text="AIFA">
      <formula>NOT(ISERROR(SEARCH("AIFA",S27)))</formula>
    </cfRule>
    <cfRule type="containsText" dxfId="4431" priority="12160" operator="containsText" text="DRAGON">
      <formula>NOT(ISERROR(SEARCH("DRAGON",S27)))</formula>
    </cfRule>
    <cfRule type="containsText" dxfId="4430" priority="12159" operator="containsText" text="TOLUCA">
      <formula>NOT(ISERROR(SEARCH("TOLUCA",S27)))</formula>
    </cfRule>
    <cfRule type="containsText" dxfId="4429" priority="12158" operator="containsText" text="ACCEL">
      <formula>NOT(ISERROR(SEARCH("ACCEL",S27)))</formula>
    </cfRule>
    <cfRule type="containsText" dxfId="4428" priority="12166" operator="containsText" text="VERACRUZ">
      <formula>NOT(ISERROR(SEARCH("VERACRUZ",S27)))</formula>
    </cfRule>
    <cfRule type="containsText" dxfId="4427" priority="12165" operator="containsText" text="MANZANILLO">
      <formula>NOT(ISERROR(SEARCH("MANZANILLO",S27)))</formula>
    </cfRule>
    <cfRule type="containsText" dxfId="4426" priority="12164" operator="containsText" text="TOLUCA">
      <formula>NOT(ISERROR(SEARCH("TOLUCA",S27)))</formula>
    </cfRule>
    <cfRule type="containsText" dxfId="4425" priority="12163" operator="containsText" text="LAREDO">
      <formula>NOT(ISERROR(SEARCH("LAREDO",S27)))</formula>
    </cfRule>
  </conditionalFormatting>
  <conditionalFormatting sqref="S28">
    <cfRule type="containsText" dxfId="4424" priority="23054" operator="containsText" text="ENTREGADO">
      <formula>NOT(ISERROR(SEARCH("ENTREGADO",S28)))</formula>
    </cfRule>
    <cfRule type="containsText" dxfId="4423" priority="23040" operator="containsText" text="PENDIENTE">
      <formula>NOT(ISERROR(SEARCH("PENDIENTE",S28)))</formula>
    </cfRule>
    <cfRule type="containsText" dxfId="4422" priority="23039" operator="containsText" text="ENTREGADO">
      <formula>NOT(ISERROR(SEARCH("ENTREGADO",S28)))</formula>
    </cfRule>
    <cfRule type="containsText" dxfId="4421" priority="23006" operator="containsText" text="PENDIENTE">
      <formula>NOT(ISERROR(SEARCH("PENDIENTE",S28)))</formula>
    </cfRule>
    <cfRule type="containsText" dxfId="4420" priority="23007" operator="containsText" text="ENTREGADO">
      <formula>NOT(ISERROR(SEARCH("ENTREGADO",S28)))</formula>
    </cfRule>
    <cfRule type="containsText" dxfId="4419" priority="23008" operator="containsText" text="PENDIENTE">
      <formula>NOT(ISERROR(SEARCH("PENDIENTE",S28)))</formula>
    </cfRule>
    <cfRule type="containsText" dxfId="4418" priority="23038" operator="containsText" text="ENTREGADO">
      <formula>NOT(ISERROR(SEARCH("ENTREGADO",S28)))</formula>
    </cfRule>
    <cfRule type="containsText" dxfId="4417" priority="23037" operator="containsText" text="PENDIENTE">
      <formula>NOT(ISERROR(SEARCH("PENDIENTE",S28)))</formula>
    </cfRule>
    <cfRule type="containsText" dxfId="4416" priority="23036" operator="containsText" text="ENTREGADO">
      <formula>NOT(ISERROR(SEARCH("ENTREGADO",S28)))</formula>
    </cfRule>
    <cfRule type="containsText" dxfId="4415" priority="23056" operator="containsText" text="PENDIENTE">
      <formula>NOT(ISERROR(SEARCH("PENDIENTE",S28)))</formula>
    </cfRule>
    <cfRule type="containsText" dxfId="4414" priority="23057" operator="containsText" text="ENTREGADO">
      <formula>NOT(ISERROR(SEARCH("ENTREGADO",S28)))</formula>
    </cfRule>
    <cfRule type="containsText" dxfId="4413" priority="23058" operator="containsText" text="PRIORIDAD">
      <formula>NOT(ISERROR(SEARCH("PRIORIDAD",S28)))</formula>
    </cfRule>
    <cfRule type="containsText" dxfId="4412" priority="23059" operator="containsText" text="ENTREGADO">
      <formula>NOT(ISERROR(SEARCH("ENTREGADO",S28)))</formula>
    </cfRule>
    <cfRule type="containsText" dxfId="4411" priority="23055" operator="containsText" text="ENTREGADO">
      <formula>NOT(ISERROR(SEARCH("ENTREGADO",S28)))</formula>
    </cfRule>
    <cfRule type="containsText" dxfId="4410" priority="23060" operator="containsText" text="PENDIENTE">
      <formula>NOT(ISERROR(SEARCH("PENDIENTE",S28)))</formula>
    </cfRule>
    <cfRule type="containsText" dxfId="4409" priority="23061" operator="containsText" text="ENTREGADO">
      <formula>NOT(ISERROR(SEARCH("ENTREGADO",S28)))</formula>
    </cfRule>
    <cfRule type="containsText" dxfId="4408" priority="23062" operator="containsText" text="PENDIENTE">
      <formula>NOT(ISERROR(SEARCH("PENDIENTE",S28)))</formula>
    </cfRule>
    <cfRule type="containsText" dxfId="4407" priority="23063" operator="containsText" text="ENTREGADO">
      <formula>NOT(ISERROR(SEARCH("ENTREGADO",S28)))</formula>
    </cfRule>
    <cfRule type="containsText" dxfId="4406" priority="23064" operator="containsText" text="PENDIENTE">
      <formula>NOT(ISERROR(SEARCH("PENDIENTE",S28)))</formula>
    </cfRule>
    <cfRule type="containsText" dxfId="4405" priority="23065" operator="containsText" text="ENTREGADO">
      <formula>NOT(ISERROR(SEARCH("ENTREGADO",S28)))</formula>
    </cfRule>
    <cfRule type="containsText" dxfId="4404" priority="23066" operator="containsText" text="ENTREGADO">
      <formula>NOT(ISERROR(SEARCH("ENTREGADO",S28)))</formula>
    </cfRule>
    <cfRule type="containsText" dxfId="4403" priority="23067" operator="containsText" text="PENDIENTE">
      <formula>NOT(ISERROR(SEARCH("PENDIENTE",S28)))</formula>
    </cfRule>
    <cfRule type="containsText" dxfId="4402" priority="23068" operator="containsText" text="ENTREGADO">
      <formula>NOT(ISERROR(SEARCH("ENTREGADO",S28)))</formula>
    </cfRule>
    <cfRule type="containsText" dxfId="4401" priority="23069" operator="containsText" text="PENDIENTE">
      <formula>NOT(ISERROR(SEARCH("PENDIENTE",S28)))</formula>
    </cfRule>
    <cfRule type="containsText" dxfId="4400" priority="23070" operator="containsText" text="ENTREGADO">
      <formula>NOT(ISERROR(SEARCH("ENTREGADO",S28)))</formula>
    </cfRule>
    <cfRule type="containsText" dxfId="4399" priority="23071" operator="containsText" text="ENTREGADO">
      <formula>NOT(ISERROR(SEARCH("ENTREGADO",S28)))</formula>
    </cfRule>
    <cfRule type="containsText" dxfId="4398" priority="23072" operator="containsText" text="PENDIENTE">
      <formula>NOT(ISERROR(SEARCH("PENDIENTE",S28)))</formula>
    </cfRule>
    <cfRule type="containsText" dxfId="4397" priority="23073" operator="containsText" text="ENTREGADO">
      <formula>NOT(ISERROR(SEARCH("ENTREGADO",S28)))</formula>
    </cfRule>
    <cfRule type="containsText" dxfId="4396" priority="23074" operator="containsText" text="PRIORIDAD">
      <formula>NOT(ISERROR(SEARCH("PRIORIDAD",S28)))</formula>
    </cfRule>
    <cfRule type="containsText" dxfId="4395" priority="23075" operator="containsText" text="PENDIENTE">
      <formula>NOT(ISERROR(SEARCH("PENDIENTE",S28)))</formula>
    </cfRule>
    <cfRule type="containsText" dxfId="4394" priority="23076" operator="containsText" text="ENTREGADO">
      <formula>NOT(ISERROR(SEARCH("ENTREGADO",S28)))</formula>
    </cfRule>
    <cfRule type="containsText" dxfId="4393" priority="23077" operator="containsText" text="PENDIENTE">
      <formula>NOT(ISERROR(SEARCH("PENDIENTE",S28)))</formula>
    </cfRule>
    <cfRule type="containsText" dxfId="4392" priority="23078" operator="containsText" text="ENTREGADO">
      <formula>NOT(ISERROR(SEARCH("ENTREGADO",S28)))</formula>
    </cfRule>
    <cfRule type="containsText" dxfId="4391" priority="23079" operator="containsText" text="PENDIENTE">
      <formula>NOT(ISERROR(SEARCH("PENDIENTE",S28)))</formula>
    </cfRule>
    <cfRule type="containsText" dxfId="4390" priority="23080" operator="containsText" text="ENTREGADO">
      <formula>NOT(ISERROR(SEARCH("ENTREGADO",S28)))</formula>
    </cfRule>
    <cfRule type="containsText" dxfId="4389" priority="23081" operator="containsText" text="ENTREGADO">
      <formula>NOT(ISERROR(SEARCH("ENTREGADO",S28)))</formula>
    </cfRule>
    <cfRule type="containsText" dxfId="4388" priority="23082" operator="containsText" text="PENDIENTE">
      <formula>NOT(ISERROR(SEARCH("PENDIENTE",S28)))</formula>
    </cfRule>
    <cfRule type="containsText" dxfId="4387" priority="23083" operator="containsText" text="ENTREGADO">
      <formula>NOT(ISERROR(SEARCH("ENTREGADO",S28)))</formula>
    </cfRule>
    <cfRule type="containsText" dxfId="4386" priority="23084" operator="containsText" text="PENDIENTE">
      <formula>NOT(ISERROR(SEARCH("PENDIENTE",S28)))</formula>
    </cfRule>
    <cfRule type="containsText" dxfId="4385" priority="23085" operator="containsText" text="ENTREGADO">
      <formula>NOT(ISERROR(SEARCH("ENTREGADO",S28)))</formula>
    </cfRule>
    <cfRule type="containsText" dxfId="4384" priority="23086" operator="containsText" text="PENDIENTE">
      <formula>NOT(ISERROR(SEARCH("PENDIENTE",S28)))</formula>
    </cfRule>
    <cfRule type="containsText" dxfId="4383" priority="23087" operator="containsText" text="ENTREGADO">
      <formula>NOT(ISERROR(SEARCH("ENTREGADO",S28)))</formula>
    </cfRule>
    <cfRule type="containsText" dxfId="4382" priority="23088" operator="containsText" text="ENTREGADO">
      <formula>NOT(ISERROR(SEARCH("ENTREGADO",S28)))</formula>
    </cfRule>
    <cfRule type="containsText" dxfId="4381" priority="23089" operator="containsText" text="PENDIENTE">
      <formula>NOT(ISERROR(SEARCH("PENDIENTE",S28)))</formula>
    </cfRule>
    <cfRule type="containsText" dxfId="4380" priority="23090" operator="containsText" text="ENTREGADO">
      <formula>NOT(ISERROR(SEARCH("ENTREGADO",S28)))</formula>
    </cfRule>
    <cfRule type="containsText" dxfId="4379" priority="23091" operator="containsText" text="PRIORIDAD">
      <formula>NOT(ISERROR(SEARCH("PRIORIDAD",S28)))</formula>
    </cfRule>
    <cfRule type="containsText" dxfId="4378" priority="23092" operator="containsText" text="PENDIENTE">
      <formula>NOT(ISERROR(SEARCH("PENDIENTE",S28)))</formula>
    </cfRule>
    <cfRule type="containsText" dxfId="4377" priority="23093" operator="containsText" text="ENTREGADO">
      <formula>NOT(ISERROR(SEARCH("ENTREGADO",S28)))</formula>
    </cfRule>
    <cfRule type="containsText" dxfId="4376" priority="23094" operator="containsText" text="PENDIENTE">
      <formula>NOT(ISERROR(SEARCH("PENDIENTE",S28)))</formula>
    </cfRule>
    <cfRule type="containsText" dxfId="4375" priority="23095" operator="containsText" text="ENTREGADO">
      <formula>NOT(ISERROR(SEARCH("ENTREGADO",S28)))</formula>
    </cfRule>
    <cfRule type="containsText" dxfId="4374" priority="23096" operator="containsText" text="PENDIENTE">
      <formula>NOT(ISERROR(SEARCH("PENDIENTE",S28)))</formula>
    </cfRule>
    <cfRule type="containsText" dxfId="4373" priority="23106" operator="containsText" text="PENDIENTE">
      <formula>NOT(ISERROR(SEARCH("PENDIENTE",S28)))</formula>
    </cfRule>
    <cfRule type="containsText" dxfId="4372" priority="23097" operator="containsText" text="ENTREGADO">
      <formula>NOT(ISERROR(SEARCH("ENTREGADO",S28)))</formula>
    </cfRule>
    <cfRule type="containsText" dxfId="4371" priority="23098" operator="containsText" text="ENTREGADO">
      <formula>NOT(ISERROR(SEARCH("ENTREGADO",S28)))</formula>
    </cfRule>
    <cfRule type="containsText" dxfId="4370" priority="22996" operator="containsText" text="PENDIENTE">
      <formula>NOT(ISERROR(SEARCH("PENDIENTE",S28)))</formula>
    </cfRule>
    <cfRule type="containsText" dxfId="4369" priority="23100" operator="containsText" text="ENTREGADO">
      <formula>NOT(ISERROR(SEARCH("ENTREGADO",S28)))</formula>
    </cfRule>
    <cfRule type="containsText" dxfId="4368" priority="23035" operator="containsText" text="PENDIENTE">
      <formula>NOT(ISERROR(SEARCH("PENDIENTE",S28)))</formula>
    </cfRule>
    <cfRule type="containsText" dxfId="4367" priority="23009" operator="containsText" text="ENTREGADO">
      <formula>NOT(ISERROR(SEARCH("ENTREGADO",S28)))</formula>
    </cfRule>
    <cfRule type="containsText" dxfId="4366" priority="23023" operator="containsText" text="PENDIENTE">
      <formula>NOT(ISERROR(SEARCH("PENDIENTE",S28)))</formula>
    </cfRule>
    <cfRule type="containsText" dxfId="4365" priority="23034" operator="containsText" text="ENTREGADO">
      <formula>NOT(ISERROR(SEARCH("ENTREGADO",S28)))</formula>
    </cfRule>
    <cfRule type="containsText" dxfId="4364" priority="23033" operator="containsText" text="PENDIENTE">
      <formula>NOT(ISERROR(SEARCH("PENDIENTE",S28)))</formula>
    </cfRule>
    <cfRule type="containsText" dxfId="4363" priority="23032" operator="containsText" text="PRIORIDAD">
      <formula>NOT(ISERROR(SEARCH("PRIORIDAD",S28)))</formula>
    </cfRule>
    <cfRule type="containsText" dxfId="4362" priority="23031" operator="containsText" text="ENTREGADO">
      <formula>NOT(ISERROR(SEARCH("ENTREGADO",S28)))</formula>
    </cfRule>
    <cfRule type="containsText" dxfId="4361" priority="23101" operator="containsText" text="PENDIENTE">
      <formula>NOT(ISERROR(SEARCH("PENDIENTE",S28)))</formula>
    </cfRule>
    <cfRule type="containsText" dxfId="4360" priority="23102" operator="containsText" text="ENTREGADO">
      <formula>NOT(ISERROR(SEARCH("ENTREGADO",S28)))</formula>
    </cfRule>
    <cfRule type="containsText" dxfId="4359" priority="23103" operator="containsText" text="PENDIENTE">
      <formula>NOT(ISERROR(SEARCH("PENDIENTE",S28)))</formula>
    </cfRule>
    <cfRule type="containsText" dxfId="4358" priority="23104" operator="containsText" text="ENTREGADO">
      <formula>NOT(ISERROR(SEARCH("ENTREGADO",S28)))</formula>
    </cfRule>
    <cfRule type="containsText" dxfId="4357" priority="23105" operator="containsText" text="ENTREGADO">
      <formula>NOT(ISERROR(SEARCH("ENTREGADO",S28)))</formula>
    </cfRule>
    <cfRule type="containsText" dxfId="4356" priority="23107" operator="containsText" text="ENTREGADO">
      <formula>NOT(ISERROR(SEARCH("ENTREGADO",S28)))</formula>
    </cfRule>
    <cfRule type="containsText" dxfId="4355" priority="23108" operator="containsText" text="PRIORIDAD">
      <formula>NOT(ISERROR(SEARCH("PRIORIDAD",S28)))</formula>
    </cfRule>
    <cfRule type="containsText" dxfId="4354" priority="23109" operator="containsText" text="PENDIENTE">
      <formula>NOT(ISERROR(SEARCH("PENDIENTE",S28)))</formula>
    </cfRule>
    <cfRule type="containsText" dxfId="4353" priority="23110" operator="containsText" text="ENTREGADO">
      <formula>NOT(ISERROR(SEARCH("ENTREGADO",S28)))</formula>
    </cfRule>
    <cfRule type="containsText" dxfId="4352" priority="23111" operator="containsText" text="PENDIENTE">
      <formula>NOT(ISERROR(SEARCH("PENDIENTE",S28)))</formula>
    </cfRule>
    <cfRule type="containsText" dxfId="4351" priority="23112" operator="containsText" text="ENTREGADO">
      <formula>NOT(ISERROR(SEARCH("ENTREGADO",S28)))</formula>
    </cfRule>
    <cfRule type="containsText" dxfId="4350" priority="23099" operator="containsText" text="PENDIENTE">
      <formula>NOT(ISERROR(SEARCH("PENDIENTE",S28)))</formula>
    </cfRule>
    <cfRule type="containsText" dxfId="4349" priority="23113" operator="containsText" text="PENDIENTE">
      <formula>NOT(ISERROR(SEARCH("PENDIENTE",S28)))</formula>
    </cfRule>
    <cfRule type="containsText" dxfId="4348" priority="23114" operator="containsText" text="ENTREGADO">
      <formula>NOT(ISERROR(SEARCH("ENTREGADO",S28)))</formula>
    </cfRule>
    <cfRule type="containsText" dxfId="4347" priority="23030" operator="containsText" text="PENDIENTE">
      <formula>NOT(ISERROR(SEARCH("PENDIENTE",S28)))</formula>
    </cfRule>
    <cfRule type="containsText" dxfId="4346" priority="23022" operator="containsText" text="ENTREGADO">
      <formula>NOT(ISERROR(SEARCH("ENTREGADO",S28)))</formula>
    </cfRule>
    <cfRule type="containsText" dxfId="4345" priority="23010" operator="containsText" text="PENDIENTE">
      <formula>NOT(ISERROR(SEARCH("PENDIENTE",S28)))</formula>
    </cfRule>
    <cfRule type="containsText" dxfId="4344" priority="23021" operator="containsText" text="ENTREGADO">
      <formula>NOT(ISERROR(SEARCH("ENTREGADO",S28)))</formula>
    </cfRule>
    <cfRule type="containsText" dxfId="4343" priority="22999" operator="containsText" text="PENDIENTE">
      <formula>NOT(ISERROR(SEARCH("PENDIENTE",S28)))</formula>
    </cfRule>
    <cfRule type="containsText" dxfId="4342" priority="23000" operator="containsText" text="ENTREGADO">
      <formula>NOT(ISERROR(SEARCH("ENTREGADO",S28)))</formula>
    </cfRule>
    <cfRule type="containsText" dxfId="4341" priority="23001" operator="containsText" text="PENDIENTE">
      <formula>NOT(ISERROR(SEARCH("PENDIENTE",S28)))</formula>
    </cfRule>
    <cfRule type="containsText" dxfId="4340" priority="23002" operator="containsText" text="ENTREGADO">
      <formula>NOT(ISERROR(SEARCH("ENTREGADO",S28)))</formula>
    </cfRule>
    <cfRule type="containsText" dxfId="4339" priority="23003" operator="containsText" text="PENDIENTE">
      <formula>NOT(ISERROR(SEARCH("PENDIENTE",S28)))</formula>
    </cfRule>
    <cfRule type="containsText" dxfId="4338" priority="23004" operator="containsText" text="ENTREGADO">
      <formula>NOT(ISERROR(SEARCH("ENTREGADO",S28)))</formula>
    </cfRule>
    <cfRule type="containsText" dxfId="4337" priority="23005" operator="containsText" text="ENTREGADO">
      <formula>NOT(ISERROR(SEARCH("ENTREGADO",S28)))</formula>
    </cfRule>
    <cfRule type="containsText" dxfId="4336" priority="23042" operator="containsText" text="PENDIENTE">
      <formula>NOT(ISERROR(SEARCH("PENDIENTE",S28)))</formula>
    </cfRule>
    <cfRule type="containsText" dxfId="4335" priority="23043" operator="containsText" text="ENTREGADO">
      <formula>NOT(ISERROR(SEARCH("ENTREGADO",S28)))</formula>
    </cfRule>
    <cfRule type="containsText" dxfId="4334" priority="23044" operator="containsText" text="PENDIENTE">
      <formula>NOT(ISERROR(SEARCH("PENDIENTE",S28)))</formula>
    </cfRule>
    <cfRule type="containsText" dxfId="4333" priority="23115" operator="containsText" text="ENTREGADO">
      <formula>NOT(ISERROR(SEARCH("ENTREGADO",S28)))</formula>
    </cfRule>
    <cfRule type="containsText" dxfId="4332" priority="23116" operator="containsText" text="PENDIENTE">
      <formula>NOT(ISERROR(SEARCH("PENDIENTE",S28)))</formula>
    </cfRule>
    <cfRule type="containsText" dxfId="4331" priority="23117" operator="containsText" text="ENTREGADO">
      <formula>NOT(ISERROR(SEARCH("ENTREGADO",S28)))</formula>
    </cfRule>
    <cfRule type="containsText" dxfId="4330" priority="23118" operator="containsText" text="PENDIENTE">
      <formula>NOT(ISERROR(SEARCH("PENDIENTE",S28)))</formula>
    </cfRule>
    <cfRule type="containsText" dxfId="4329" priority="23119" operator="containsText" text="ENTREGADO">
      <formula>NOT(ISERROR(SEARCH("ENTREGADO",S28)))</formula>
    </cfRule>
    <cfRule type="containsText" dxfId="4328" priority="23120" operator="containsText" text="PENDIENTE">
      <formula>NOT(ISERROR(SEARCH("PENDIENTE",S28)))</formula>
    </cfRule>
    <cfRule type="containsText" dxfId="4327" priority="23045" operator="containsText" text="ENTREGADO">
      <formula>NOT(ISERROR(SEARCH("ENTREGADO",S28)))</formula>
    </cfRule>
    <cfRule type="containsText" dxfId="4326" priority="23046" operator="containsText" text="PENDIENTE">
      <formula>NOT(ISERROR(SEARCH("PENDIENTE",S28)))</formula>
    </cfRule>
    <cfRule type="containsText" dxfId="4325" priority="23121" operator="containsText" text="ENTREGADO">
      <formula>NOT(ISERROR(SEARCH("ENTREGADO",S28)))</formula>
    </cfRule>
    <cfRule type="containsText" dxfId="4324" priority="23047" operator="containsText" text="ENTREGADO">
      <formula>NOT(ISERROR(SEARCH("ENTREGADO",S28)))</formula>
    </cfRule>
    <cfRule type="containsText" dxfId="4323" priority="23123" operator="containsText" text="PENDIENTE">
      <formula>NOT(ISERROR(SEARCH("PENDIENTE",S28)))</formula>
    </cfRule>
    <cfRule type="containsText" dxfId="4322" priority="22998" operator="containsText" text="PRIORIDAD">
      <formula>NOT(ISERROR(SEARCH("PRIORIDAD",S28)))</formula>
    </cfRule>
    <cfRule type="containsText" dxfId="4321" priority="23048" operator="containsText" text="ENTREGADO">
      <formula>NOT(ISERROR(SEARCH("ENTREGADO",S28)))</formula>
    </cfRule>
    <cfRule type="containsText" dxfId="4320" priority="23124" operator="containsText" text="ENTREGADO">
      <formula>NOT(ISERROR(SEARCH("ENTREGADO",S28)))</formula>
    </cfRule>
    <cfRule type="containsText" dxfId="4319" priority="23125" operator="containsText" text="PRIORIDAD">
      <formula>NOT(ISERROR(SEARCH("PRIORIDAD",S28)))</formula>
    </cfRule>
    <cfRule type="containsText" dxfId="4318" priority="23126" operator="containsText" text="PENDIENTE">
      <formula>NOT(ISERROR(SEARCH("PENDIENTE",S28)))</formula>
    </cfRule>
    <cfRule type="containsText" dxfId="4317" priority="23127" operator="containsText" text="ENTREGADO">
      <formula>NOT(ISERROR(SEARCH("ENTREGADO",S28)))</formula>
    </cfRule>
    <cfRule type="containsText" dxfId="4316" priority="23128" operator="containsText" text="PENDIENTE">
      <formula>NOT(ISERROR(SEARCH("PENDIENTE",S28)))</formula>
    </cfRule>
    <cfRule type="containsText" dxfId="4315" priority="23129" operator="containsText" text="ENTREGADO">
      <formula>NOT(ISERROR(SEARCH("ENTREGADO",S28)))</formula>
    </cfRule>
    <cfRule type="containsText" dxfId="4314" priority="23130" operator="containsText" text="PENDIENTE">
      <formula>NOT(ISERROR(SEARCH("PENDIENTE",S28)))</formula>
    </cfRule>
    <cfRule type="containsText" dxfId="4313" priority="23131" operator="containsText" text="ENTREGADO">
      <formula>NOT(ISERROR(SEARCH("ENTREGADO",S28)))</formula>
    </cfRule>
    <cfRule type="containsText" dxfId="4312" priority="23132" operator="containsText" text="ENTREGADO">
      <formula>NOT(ISERROR(SEARCH("ENTREGADO",S28)))</formula>
    </cfRule>
    <cfRule type="containsText" dxfId="4311" priority="22997" operator="containsText" text="ENTREGADO">
      <formula>NOT(ISERROR(SEARCH("ENTREGADO",S28)))</formula>
    </cfRule>
    <cfRule type="containsText" dxfId="4310" priority="22995" operator="containsText" text="ENTREGADO">
      <formula>NOT(ISERROR(SEARCH("ENTREGADO",S28)))</formula>
    </cfRule>
    <cfRule type="containsText" dxfId="4309" priority="23029" operator="containsText" text="ENTREGADO">
      <formula>NOT(ISERROR(SEARCH("ENTREGADO",S28)))</formula>
    </cfRule>
    <cfRule type="containsText" dxfId="4308" priority="23028" operator="containsText" text="ENTREGADO">
      <formula>NOT(ISERROR(SEARCH("ENTREGADO",S28)))</formula>
    </cfRule>
    <cfRule type="containsText" dxfId="4307" priority="23049" operator="containsText" text="PENDIENTE">
      <formula>NOT(ISERROR(SEARCH("PENDIENTE",S28)))</formula>
    </cfRule>
    <cfRule type="containsText" dxfId="4306" priority="22994" operator="containsText" text="ENTREGADO">
      <formula>NOT(ISERROR(SEARCH("ENTREGADO",S28)))</formula>
    </cfRule>
    <cfRule type="containsText" dxfId="4305" priority="23027" operator="containsText" text="PENDIENTE">
      <formula>NOT(ISERROR(SEARCH("PENDIENTE",S28)))</formula>
    </cfRule>
    <cfRule type="containsText" dxfId="4304" priority="23011" operator="containsText" text="ENTREGADO">
      <formula>NOT(ISERROR(SEARCH("ENTREGADO",S28)))</formula>
    </cfRule>
    <cfRule type="containsText" dxfId="4303" priority="23012" operator="containsText" text="ENTREGADO">
      <formula>NOT(ISERROR(SEARCH("ENTREGADO",S28)))</formula>
    </cfRule>
    <cfRule type="containsText" dxfId="4302" priority="23013" operator="containsText" text="PENDIENTE">
      <formula>NOT(ISERROR(SEARCH("PENDIENTE",S28)))</formula>
    </cfRule>
    <cfRule type="containsText" dxfId="4301" priority="23014" operator="containsText" text="ENTREGADO">
      <formula>NOT(ISERROR(SEARCH("ENTREGADO",S28)))</formula>
    </cfRule>
    <cfRule type="containsText" dxfId="4300" priority="23133" operator="containsText" text="PENDIENTE">
      <formula>NOT(ISERROR(SEARCH("PENDIENTE",S28)))</formula>
    </cfRule>
    <cfRule type="containsText" dxfId="4299" priority="23122" operator="containsText" text="ENTREGADO">
      <formula>NOT(ISERROR(SEARCH("ENTREGADO",S28)))</formula>
    </cfRule>
    <cfRule type="containsText" dxfId="4298" priority="22993" operator="containsText" text="PENDIENTE">
      <formula>NOT(ISERROR(SEARCH("PENDIENTE",S28)))</formula>
    </cfRule>
    <cfRule type="containsText" dxfId="4297" priority="23050" operator="containsText" text="ENTREGADO">
      <formula>NOT(ISERROR(SEARCH("ENTREGADO",S28)))</formula>
    </cfRule>
    <cfRule type="containsText" dxfId="4296" priority="23051" operator="containsText" text="PENDIENTE">
      <formula>NOT(ISERROR(SEARCH("PENDIENTE",S28)))</formula>
    </cfRule>
    <cfRule type="containsText" dxfId="4295" priority="23052" operator="containsText" text="ENTREGADO">
      <formula>NOT(ISERROR(SEARCH("ENTREGADO",S28)))</formula>
    </cfRule>
    <cfRule type="containsText" dxfId="4294" priority="23053" operator="containsText" text="PENDIENTE">
      <formula>NOT(ISERROR(SEARCH("PENDIENTE",S28)))</formula>
    </cfRule>
    <cfRule type="containsText" dxfId="4293" priority="23134" operator="containsText" text="ENTREGADO">
      <formula>NOT(ISERROR(SEARCH("ENTREGADO",S28)))</formula>
    </cfRule>
    <cfRule type="containsText" dxfId="4292" priority="23135" operator="containsText" text="PENDIENTE">
      <formula>NOT(ISERROR(SEARCH("PENDIENTE",S28)))</formula>
    </cfRule>
    <cfRule type="containsText" dxfId="4291" priority="23136" operator="containsText" text="ENTREGADO">
      <formula>NOT(ISERROR(SEARCH("ENTREGADO",S28)))</formula>
    </cfRule>
    <cfRule type="containsText" dxfId="4290" priority="23137" operator="containsText" text="PENDIENTE">
      <formula>NOT(ISERROR(SEARCH("PENDIENTE",S28)))</formula>
    </cfRule>
    <cfRule type="containsText" dxfId="4289" priority="23015" operator="containsText" text="PRIORIDAD">
      <formula>NOT(ISERROR(SEARCH("PRIORIDAD",S28)))</formula>
    </cfRule>
    <cfRule type="containsText" dxfId="4288" priority="23016" operator="containsText" text="PENDIENTE">
      <formula>NOT(ISERROR(SEARCH("PENDIENTE",S28)))</formula>
    </cfRule>
    <cfRule type="containsText" dxfId="4287" priority="23017" operator="containsText" text="ENTREGADO">
      <formula>NOT(ISERROR(SEARCH("ENTREGADO",S28)))</formula>
    </cfRule>
    <cfRule type="containsText" dxfId="4286" priority="23026" operator="containsText" text="ENTREGADO">
      <formula>NOT(ISERROR(SEARCH("ENTREGADO",S28)))</formula>
    </cfRule>
    <cfRule type="containsText" dxfId="4285" priority="23025" operator="containsText" text="PENDIENTE">
      <formula>NOT(ISERROR(SEARCH("PENDIENTE",S28)))</formula>
    </cfRule>
    <cfRule type="containsText" dxfId="4284" priority="23024" operator="containsText" text="ENTREGADO">
      <formula>NOT(ISERROR(SEARCH("ENTREGADO",S28)))</formula>
    </cfRule>
    <cfRule type="containsText" dxfId="4283" priority="23041" operator="containsText" text="ENTREGADO">
      <formula>NOT(ISERROR(SEARCH("ENTREGADO",S28)))</formula>
    </cfRule>
    <cfRule type="containsText" dxfId="4282" priority="23018" operator="containsText" text="PENDIENTE">
      <formula>NOT(ISERROR(SEARCH("PENDIENTE",S28)))</formula>
    </cfRule>
    <cfRule type="containsText" dxfId="4281" priority="23019" operator="containsText" text="ENTREGADO">
      <formula>NOT(ISERROR(SEARCH("ENTREGADO",S28)))</formula>
    </cfRule>
    <cfRule type="containsText" dxfId="4280" priority="23020" operator="containsText" text="PENDIENTE">
      <formula>NOT(ISERROR(SEARCH("PENDIENTE",S28)))</formula>
    </cfRule>
  </conditionalFormatting>
  <conditionalFormatting sqref="S29">
    <cfRule type="containsText" dxfId="4279" priority="10290" operator="containsText" text="VERACRUZ">
      <formula>NOT(ISERROR(SEARCH("VERACRUZ",S29)))</formula>
    </cfRule>
    <cfRule type="containsText" dxfId="4278" priority="10284" operator="containsText" text="DRAGON">
      <formula>NOT(ISERROR(SEARCH("DRAGON",S29)))</formula>
    </cfRule>
    <cfRule type="containsText" dxfId="4277" priority="10289" operator="containsText" text="MANZANILLO">
      <formula>NOT(ISERROR(SEARCH("MANZANILLO",S29)))</formula>
    </cfRule>
    <cfRule type="containsText" dxfId="4276" priority="10285" operator="containsText" text="AIFA">
      <formula>NOT(ISERROR(SEARCH("AIFA",S29)))</formula>
    </cfRule>
    <cfRule type="containsText" dxfId="4275" priority="10282" operator="containsText" text="ACCEL">
      <formula>NOT(ISERROR(SEARCH("ACCEL",S29)))</formula>
    </cfRule>
    <cfRule type="containsText" dxfId="4274" priority="10283" operator="containsText" text="TOLUCA">
      <formula>NOT(ISERROR(SEARCH("TOLUCA",S29)))</formula>
    </cfRule>
    <cfRule type="containsText" dxfId="4273" priority="10286" operator="containsText" text="AICM">
      <formula>NOT(ISERROR(SEARCH("AICM",S29)))</formula>
    </cfRule>
    <cfRule type="containsText" dxfId="4272" priority="10287" operator="containsText" text="LAREDO">
      <formula>NOT(ISERROR(SEARCH("LAREDO",S29)))</formula>
    </cfRule>
    <cfRule type="containsText" dxfId="4271" priority="10288" operator="containsText" text="TOLUCA">
      <formula>NOT(ISERROR(SEARCH("TOLUCA",S29)))</formula>
    </cfRule>
  </conditionalFormatting>
  <conditionalFormatting sqref="S29:S32 S34">
    <cfRule type="containsText" dxfId="4270" priority="9291" operator="containsText" text="PENDIENTE">
      <formula>NOT(ISERROR(SEARCH("PENDIENTE",S29)))</formula>
    </cfRule>
    <cfRule type="containsText" dxfId="4269" priority="9292" operator="containsText" text="ENTREGADO">
      <formula>NOT(ISERROR(SEARCH("ENTREGADO",S29)))</formula>
    </cfRule>
  </conditionalFormatting>
  <conditionalFormatting sqref="S29:S32">
    <cfRule type="containsText" dxfId="4268" priority="9290" operator="containsText" text="ENTREGADO">
      <formula>NOT(ISERROR(SEARCH("ENTREGADO",S29)))</formula>
    </cfRule>
  </conditionalFormatting>
  <conditionalFormatting sqref="S30">
    <cfRule type="containsText" dxfId="4267" priority="10277" operator="containsText" text="MANZANILLO">
      <formula>NOT(ISERROR(SEARCH("MANZANILLO",S30)))</formula>
    </cfRule>
    <cfRule type="containsText" dxfId="4266" priority="10278" operator="containsText" text="VERACRUZ">
      <formula>NOT(ISERROR(SEARCH("VERACRUZ",S30)))</formula>
    </cfRule>
    <cfRule type="containsText" dxfId="4265" priority="10271" operator="containsText" text="TOLUCA">
      <formula>NOT(ISERROR(SEARCH("TOLUCA",S30)))</formula>
    </cfRule>
    <cfRule type="containsText" dxfId="4264" priority="10270" operator="containsText" text="ACCEL">
      <formula>NOT(ISERROR(SEARCH("ACCEL",S30)))</formula>
    </cfRule>
    <cfRule type="containsText" dxfId="4263" priority="10272" operator="containsText" text="DRAGON">
      <formula>NOT(ISERROR(SEARCH("DRAGON",S30)))</formula>
    </cfRule>
    <cfRule type="containsText" dxfId="4262" priority="10273" operator="containsText" text="AIFA">
      <formula>NOT(ISERROR(SEARCH("AIFA",S30)))</formula>
    </cfRule>
    <cfRule type="containsText" dxfId="4261" priority="10274" operator="containsText" text="AICM">
      <formula>NOT(ISERROR(SEARCH("AICM",S30)))</formula>
    </cfRule>
    <cfRule type="containsText" dxfId="4260" priority="10275" operator="containsText" text="LAREDO">
      <formula>NOT(ISERROR(SEARCH("LAREDO",S30)))</formula>
    </cfRule>
    <cfRule type="containsText" dxfId="4259" priority="10276" operator="containsText" text="TOLUCA">
      <formula>NOT(ISERROR(SEARCH("TOLUCA",S30)))</formula>
    </cfRule>
  </conditionalFormatting>
  <conditionalFormatting sqref="S31">
    <cfRule type="containsText" dxfId="4258" priority="10262" operator="containsText" text="AICM">
      <formula>NOT(ISERROR(SEARCH("AICM",S31)))</formula>
    </cfRule>
    <cfRule type="containsText" dxfId="4257" priority="10261" operator="containsText" text="AIFA">
      <formula>NOT(ISERROR(SEARCH("AIFA",S31)))</formula>
    </cfRule>
    <cfRule type="containsText" dxfId="4256" priority="10259" operator="containsText" text="TOLUCA">
      <formula>NOT(ISERROR(SEARCH("TOLUCA",S31)))</formula>
    </cfRule>
    <cfRule type="containsText" dxfId="4255" priority="10266" operator="containsText" text="VERACRUZ">
      <formula>NOT(ISERROR(SEARCH("VERACRUZ",S31)))</formula>
    </cfRule>
    <cfRule type="containsText" dxfId="4254" priority="10264" operator="containsText" text="TOLUCA">
      <formula>NOT(ISERROR(SEARCH("TOLUCA",S31)))</formula>
    </cfRule>
    <cfRule type="containsText" dxfId="4253" priority="10265" operator="containsText" text="MANZANILLO">
      <formula>NOT(ISERROR(SEARCH("MANZANILLO",S31)))</formula>
    </cfRule>
    <cfRule type="containsText" dxfId="4252" priority="10258" operator="containsText" text="ACCEL">
      <formula>NOT(ISERROR(SEARCH("ACCEL",S31)))</formula>
    </cfRule>
    <cfRule type="containsText" dxfId="4251" priority="10263" operator="containsText" text="LAREDO">
      <formula>NOT(ISERROR(SEARCH("LAREDO",S31)))</formula>
    </cfRule>
    <cfRule type="containsText" dxfId="4250" priority="10260" operator="containsText" text="DRAGON">
      <formula>NOT(ISERROR(SEARCH("DRAGON",S31)))</formula>
    </cfRule>
  </conditionalFormatting>
  <conditionalFormatting sqref="S32">
    <cfRule type="containsText" dxfId="4249" priority="10236" operator="containsText" text="VERACRUZ">
      <formula>NOT(ISERROR(SEARCH("VERACRUZ",S32)))</formula>
    </cfRule>
    <cfRule type="containsText" dxfId="4248" priority="10231" operator="containsText" text="AIFA">
      <formula>NOT(ISERROR(SEARCH("AIFA",S32)))</formula>
    </cfRule>
    <cfRule type="containsText" dxfId="4247" priority="10230" operator="containsText" text="DRAGON">
      <formula>NOT(ISERROR(SEARCH("DRAGON",S32)))</formula>
    </cfRule>
    <cfRule type="containsText" dxfId="4246" priority="10232" operator="containsText" text="AICM">
      <formula>NOT(ISERROR(SEARCH("AICM",S32)))</formula>
    </cfRule>
    <cfRule type="containsText" dxfId="4245" priority="10229" operator="containsText" text="TOLUCA">
      <formula>NOT(ISERROR(SEARCH("TOLUCA",S32)))</formula>
    </cfRule>
    <cfRule type="containsText" dxfId="4244" priority="10228" operator="containsText" text="ACCEL">
      <formula>NOT(ISERROR(SEARCH("ACCEL",S32)))</formula>
    </cfRule>
    <cfRule type="containsText" dxfId="4243" priority="10233" operator="containsText" text="LAREDO">
      <formula>NOT(ISERROR(SEARCH("LAREDO",S32)))</formula>
    </cfRule>
    <cfRule type="containsText" dxfId="4242" priority="10234" operator="containsText" text="TOLUCA">
      <formula>NOT(ISERROR(SEARCH("TOLUCA",S32)))</formula>
    </cfRule>
    <cfRule type="containsText" dxfId="4241" priority="10235" operator="containsText" text="MANZANILLO">
      <formula>NOT(ISERROR(SEARCH("MANZANILLO",S32)))</formula>
    </cfRule>
  </conditionalFormatting>
  <conditionalFormatting sqref="S33">
    <cfRule type="containsText" dxfId="4240" priority="5919" operator="containsText" text="VERACRUZ">
      <formula>NOT(ISERROR(SEARCH("VERACRUZ",S33)))</formula>
    </cfRule>
    <cfRule type="containsText" dxfId="4239" priority="5913" operator="containsText" text="DRAGON">
      <formula>NOT(ISERROR(SEARCH("DRAGON",S33)))</formula>
    </cfRule>
    <cfRule type="containsText" dxfId="4238" priority="5918" operator="containsText" text="MANZANILLO">
      <formula>NOT(ISERROR(SEARCH("MANZANILLO",S33)))</formula>
    </cfRule>
    <cfRule type="containsText" dxfId="4237" priority="5912" operator="containsText" text="ENTREGADO">
      <formula>NOT(ISERROR(SEARCH("ENTREGADO",S33)))</formula>
    </cfRule>
    <cfRule type="containsText" dxfId="4236" priority="5911" operator="containsText" text="TOLUCA">
      <formula>NOT(ISERROR(SEARCH("TOLUCA",S33)))</formula>
    </cfRule>
    <cfRule type="containsText" dxfId="4235" priority="5915" operator="containsText" text="AICM">
      <formula>NOT(ISERROR(SEARCH("AICM",S33)))</formula>
    </cfRule>
    <cfRule type="containsText" dxfId="4234" priority="5917" operator="containsText" text="TOLUCA">
      <formula>NOT(ISERROR(SEARCH("TOLUCA",S33)))</formula>
    </cfRule>
    <cfRule type="containsText" dxfId="4233" priority="5916" operator="containsText" text="LAREDO">
      <formula>NOT(ISERROR(SEARCH("LAREDO",S33)))</formula>
    </cfRule>
    <cfRule type="containsText" dxfId="4232" priority="5914" operator="containsText" text="AIFA">
      <formula>NOT(ISERROR(SEARCH("AIFA",S33)))</formula>
    </cfRule>
  </conditionalFormatting>
  <conditionalFormatting sqref="S34">
    <cfRule type="containsText" dxfId="4231" priority="9300" operator="containsText" text="MANZANILLO">
      <formula>NOT(ISERROR(SEARCH("MANZANILLO",S34)))</formula>
    </cfRule>
    <cfRule type="containsText" dxfId="4230" priority="9293" operator="containsText" text="ACCEL">
      <formula>NOT(ISERROR(SEARCH("ACCEL",S34)))</formula>
    </cfRule>
    <cfRule type="containsText" dxfId="4229" priority="9299" operator="containsText" text="TOLUCA">
      <formula>NOT(ISERROR(SEARCH("TOLUCA",S34)))</formula>
    </cfRule>
    <cfRule type="containsText" dxfId="4228" priority="9298" operator="containsText" text="LAREDO">
      <formula>NOT(ISERROR(SEARCH("LAREDO",S34)))</formula>
    </cfRule>
    <cfRule type="containsText" dxfId="4227" priority="9301" operator="containsText" text="VERACRUZ">
      <formula>NOT(ISERROR(SEARCH("VERACRUZ",S34)))</formula>
    </cfRule>
    <cfRule type="containsText" dxfId="4226" priority="9297" operator="containsText" text="AICM">
      <formula>NOT(ISERROR(SEARCH("AICM",S34)))</formula>
    </cfRule>
    <cfRule type="containsText" dxfId="4225" priority="9296" operator="containsText" text="AIFA">
      <formula>NOT(ISERROR(SEARCH("AIFA",S34)))</formula>
    </cfRule>
    <cfRule type="containsText" dxfId="4224" priority="9295" operator="containsText" text="DRAGON">
      <formula>NOT(ISERROR(SEARCH("DRAGON",S34)))</formula>
    </cfRule>
    <cfRule type="containsText" dxfId="4223" priority="9294" operator="containsText" text="TOLUCA">
      <formula>NOT(ISERROR(SEARCH("TOLUCA",S34)))</formula>
    </cfRule>
  </conditionalFormatting>
  <conditionalFormatting sqref="S35">
    <cfRule type="containsText" dxfId="4222" priority="4893" operator="containsText" text="TOLUCA">
      <formula>NOT(ISERROR(SEARCH("TOLUCA",S35)))</formula>
    </cfRule>
    <cfRule type="containsText" dxfId="4221" priority="4894" operator="containsText" text="MANZANILLO">
      <formula>NOT(ISERROR(SEARCH("MANZANILLO",S35)))</formula>
    </cfRule>
    <cfRule type="containsText" dxfId="4220" priority="4895" operator="containsText" text="VERACRUZ">
      <formula>NOT(ISERROR(SEARCH("VERACRUZ",S35)))</formula>
    </cfRule>
    <cfRule type="containsText" dxfId="4219" priority="4891" operator="containsText" text="AICM">
      <formula>NOT(ISERROR(SEARCH("AICM",S35)))</formula>
    </cfRule>
    <cfRule type="containsText" dxfId="4218" priority="4892" operator="containsText" text="LAREDO">
      <formula>NOT(ISERROR(SEARCH("LAREDO",S35)))</formula>
    </cfRule>
    <cfRule type="containsText" dxfId="4217" priority="4887" operator="containsText" text="TOLUCA">
      <formula>NOT(ISERROR(SEARCH("TOLUCA",S35)))</formula>
    </cfRule>
    <cfRule type="containsText" dxfId="4216" priority="4889" operator="containsText" text="DRAGON">
      <formula>NOT(ISERROR(SEARCH("DRAGON",S35)))</formula>
    </cfRule>
    <cfRule type="containsText" dxfId="4215" priority="4890" operator="containsText" text="AIFA">
      <formula>NOT(ISERROR(SEARCH("AIFA",S35)))</formula>
    </cfRule>
    <cfRule type="containsText" dxfId="4214" priority="4888" operator="containsText" text="ENTREGADO">
      <formula>NOT(ISERROR(SEARCH("ENTREGADO",S35)))</formula>
    </cfRule>
  </conditionalFormatting>
  <conditionalFormatting sqref="S36">
    <cfRule type="containsText" dxfId="4213" priority="4879" operator="containsText" text="ENTREGADO">
      <formula>NOT(ISERROR(SEARCH("ENTREGADO",S36)))</formula>
    </cfRule>
    <cfRule type="containsText" dxfId="4212" priority="4878" operator="containsText" text="TOLUCA">
      <formula>NOT(ISERROR(SEARCH("TOLUCA",S36)))</formula>
    </cfRule>
    <cfRule type="containsText" dxfId="4211" priority="4880" operator="containsText" text="DRAGON">
      <formula>NOT(ISERROR(SEARCH("DRAGON",S36)))</formula>
    </cfRule>
    <cfRule type="containsText" dxfId="4210" priority="4881" operator="containsText" text="AIFA">
      <formula>NOT(ISERROR(SEARCH("AIFA",S36)))</formula>
    </cfRule>
    <cfRule type="containsText" dxfId="4209" priority="4885" operator="containsText" text="MANZANILLO">
      <formula>NOT(ISERROR(SEARCH("MANZANILLO",S36)))</formula>
    </cfRule>
    <cfRule type="containsText" dxfId="4208" priority="4886" operator="containsText" text="VERACRUZ">
      <formula>NOT(ISERROR(SEARCH("VERACRUZ",S36)))</formula>
    </cfRule>
    <cfRule type="containsText" dxfId="4207" priority="4882" operator="containsText" text="AICM">
      <formula>NOT(ISERROR(SEARCH("AICM",S36)))</formula>
    </cfRule>
    <cfRule type="containsText" dxfId="4206" priority="4884" operator="containsText" text="TOLUCA">
      <formula>NOT(ISERROR(SEARCH("TOLUCA",S36)))</formula>
    </cfRule>
    <cfRule type="containsText" dxfId="4205" priority="4883" operator="containsText" text="LAREDO">
      <formula>NOT(ISERROR(SEARCH("LAREDO",S36)))</formula>
    </cfRule>
  </conditionalFormatting>
  <conditionalFormatting sqref="S37">
    <cfRule type="containsText" dxfId="4204" priority="10167" operator="containsText" text="VERACRUZ">
      <formula>NOT(ISERROR(SEARCH("VERACRUZ",S37)))</formula>
    </cfRule>
    <cfRule type="containsText" dxfId="4203" priority="10166" operator="containsText" text="MANZANILLO">
      <formula>NOT(ISERROR(SEARCH("MANZANILLO",S37)))</formula>
    </cfRule>
    <cfRule type="containsText" dxfId="4202" priority="10164" operator="containsText" text="LAREDO">
      <formula>NOT(ISERROR(SEARCH("LAREDO",S37)))</formula>
    </cfRule>
    <cfRule type="containsText" dxfId="4201" priority="10165" operator="containsText" text="TOLUCA">
      <formula>NOT(ISERROR(SEARCH("TOLUCA",S37)))</formula>
    </cfRule>
    <cfRule type="containsText" dxfId="4200" priority="10163" operator="containsText" text="AICM">
      <formula>NOT(ISERROR(SEARCH("AICM",S37)))</formula>
    </cfRule>
    <cfRule type="containsText" dxfId="4199" priority="10159" operator="containsText" text="ACCEL">
      <formula>NOT(ISERROR(SEARCH("ACCEL",S37)))</formula>
    </cfRule>
    <cfRule type="containsText" dxfId="4198" priority="10161" operator="containsText" text="DRAGON">
      <formula>NOT(ISERROR(SEARCH("DRAGON",S37)))</formula>
    </cfRule>
    <cfRule type="containsText" dxfId="4197" priority="10162" operator="containsText" text="AIFA">
      <formula>NOT(ISERROR(SEARCH("AIFA",S37)))</formula>
    </cfRule>
    <cfRule type="containsText" dxfId="4196" priority="10160" operator="containsText" text="TOLUCA">
      <formula>NOT(ISERROR(SEARCH("TOLUCA",S37)))</formula>
    </cfRule>
  </conditionalFormatting>
  <conditionalFormatting sqref="S37:S38">
    <cfRule type="containsText" dxfId="4195" priority="9478" operator="containsText" text="PENDIENTE">
      <formula>NOT(ISERROR(SEARCH("PENDIENTE",S37)))</formula>
    </cfRule>
    <cfRule type="containsText" dxfId="4194" priority="9477" operator="containsText" text="ENTREGADO">
      <formula>NOT(ISERROR(SEARCH("ENTREGADO",S37)))</formula>
    </cfRule>
    <cfRule type="containsText" dxfId="4193" priority="10137" operator="containsText" text="ENTREGADO">
      <formula>NOT(ISERROR(SEARCH("ENTREGADO",S37)))</formula>
    </cfRule>
  </conditionalFormatting>
  <conditionalFormatting sqref="S38">
    <cfRule type="containsText" dxfId="4192" priority="10146" operator="containsText" text="VERACRUZ">
      <formula>NOT(ISERROR(SEARCH("VERACRUZ",S38)))</formula>
    </cfRule>
    <cfRule type="containsText" dxfId="4191" priority="10138" operator="containsText" text="ACCEL">
      <formula>NOT(ISERROR(SEARCH("ACCEL",S38)))</formula>
    </cfRule>
    <cfRule type="containsText" dxfId="4190" priority="10139" operator="containsText" text="TOLUCA">
      <formula>NOT(ISERROR(SEARCH("TOLUCA",S38)))</formula>
    </cfRule>
    <cfRule type="containsText" dxfId="4189" priority="10140" operator="containsText" text="DRAGON">
      <formula>NOT(ISERROR(SEARCH("DRAGON",S38)))</formula>
    </cfRule>
    <cfRule type="containsText" dxfId="4188" priority="10141" operator="containsText" text="AIFA">
      <formula>NOT(ISERROR(SEARCH("AIFA",S38)))</formula>
    </cfRule>
    <cfRule type="containsText" dxfId="4187" priority="10142" operator="containsText" text="AICM">
      <formula>NOT(ISERROR(SEARCH("AICM",S38)))</formula>
    </cfRule>
    <cfRule type="containsText" dxfId="4186" priority="10143" operator="containsText" text="LAREDO">
      <formula>NOT(ISERROR(SEARCH("LAREDO",S38)))</formula>
    </cfRule>
    <cfRule type="containsText" dxfId="4185" priority="10144" operator="containsText" text="TOLUCA">
      <formula>NOT(ISERROR(SEARCH("TOLUCA",S38)))</formula>
    </cfRule>
    <cfRule type="containsText" dxfId="4184" priority="10145" operator="containsText" text="MANZANILLO">
      <formula>NOT(ISERROR(SEARCH("MANZANILLO",S38)))</formula>
    </cfRule>
  </conditionalFormatting>
  <conditionalFormatting sqref="S39">
    <cfRule type="containsText" dxfId="4183" priority="4142" operator="containsText" text="MANZANILLO">
      <formula>NOT(ISERROR(SEARCH("MANZANILLO",S39)))</formula>
    </cfRule>
    <cfRule type="containsText" dxfId="4182" priority="4140" operator="containsText" text="LAREDO">
      <formula>NOT(ISERROR(SEARCH("LAREDO",S39)))</formula>
    </cfRule>
    <cfRule type="containsText" dxfId="4181" priority="4139" operator="containsText" text="AICM">
      <formula>NOT(ISERROR(SEARCH("AICM",S39)))</formula>
    </cfRule>
    <cfRule type="containsText" dxfId="4180" priority="4138" operator="containsText" text="AIFA">
      <formula>NOT(ISERROR(SEARCH("AIFA",S39)))</formula>
    </cfRule>
    <cfRule type="containsText" dxfId="4179" priority="4137" operator="containsText" text="DRAGON">
      <formula>NOT(ISERROR(SEARCH("DRAGON",S39)))</formula>
    </cfRule>
    <cfRule type="containsText" dxfId="4178" priority="4136" operator="containsText" text="TOLUCA">
      <formula>NOT(ISERROR(SEARCH("TOLUCA",S39)))</formula>
    </cfRule>
    <cfRule type="containsText" dxfId="4177" priority="4135" operator="containsText" text="ACCEL">
      <formula>NOT(ISERROR(SEARCH("ACCEL",S39)))</formula>
    </cfRule>
    <cfRule type="containsText" dxfId="4176" priority="4143" operator="containsText" text="VERACRUZ">
      <formula>NOT(ISERROR(SEARCH("VERACRUZ",S39)))</formula>
    </cfRule>
    <cfRule type="containsText" dxfId="4175" priority="4141" operator="containsText" text="TOLUCA">
      <formula>NOT(ISERROR(SEARCH("TOLUCA",S39)))</formula>
    </cfRule>
  </conditionalFormatting>
  <conditionalFormatting sqref="S40">
    <cfRule type="containsText" dxfId="4174" priority="7117" operator="containsText" text="LAREDO">
      <formula>NOT(ISERROR(SEARCH("LAREDO",S40)))</formula>
    </cfRule>
    <cfRule type="containsText" dxfId="4173" priority="7118" operator="containsText" text="TOLUCA">
      <formula>NOT(ISERROR(SEARCH("TOLUCA",S40)))</formula>
    </cfRule>
    <cfRule type="containsText" dxfId="4172" priority="7119" operator="containsText" text="MANZANILLO">
      <formula>NOT(ISERROR(SEARCH("MANZANILLO",S40)))</formula>
    </cfRule>
    <cfRule type="containsText" dxfId="4171" priority="7120" operator="containsText" text="VERACRUZ">
      <formula>NOT(ISERROR(SEARCH("VERACRUZ",S40)))</formula>
    </cfRule>
    <cfRule type="containsText" dxfId="4170" priority="7115" operator="containsText" text="AIFA">
      <formula>NOT(ISERROR(SEARCH("AIFA",S40)))</formula>
    </cfRule>
    <cfRule type="containsText" dxfId="4169" priority="7116" operator="containsText" text="AICM">
      <formula>NOT(ISERROR(SEARCH("AICM",S40)))</formula>
    </cfRule>
    <cfRule type="containsText" dxfId="4168" priority="7114" operator="containsText" text="DRAGON">
      <formula>NOT(ISERROR(SEARCH("DRAGON",S40)))</formula>
    </cfRule>
    <cfRule type="containsText" dxfId="4167" priority="7113" operator="containsText" text="TOLUCA">
      <formula>NOT(ISERROR(SEARCH("TOLUCA",S40)))</formula>
    </cfRule>
    <cfRule type="containsText" dxfId="4166" priority="7112" operator="containsText" text="ACCEL">
      <formula>NOT(ISERROR(SEARCH("ACCEL",S40)))</formula>
    </cfRule>
    <cfRule type="containsText" dxfId="4165" priority="7111" operator="containsText" text="ENTREGADO">
      <formula>NOT(ISERROR(SEARCH("ENTREGADO",S40)))</formula>
    </cfRule>
  </conditionalFormatting>
  <conditionalFormatting sqref="S41">
    <cfRule type="containsText" dxfId="4164" priority="3745" operator="containsText" text="DRAGON">
      <formula>NOT(ISERROR(SEARCH("DRAGON",S41)))</formula>
    </cfRule>
    <cfRule type="containsText" dxfId="4163" priority="3746" operator="containsText" text="AIFA">
      <formula>NOT(ISERROR(SEARCH("AIFA",S41)))</formula>
    </cfRule>
    <cfRule type="containsText" dxfId="4162" priority="3741" operator="containsText" text="PENDIENTE">
      <formula>NOT(ISERROR(SEARCH("PENDIENTE",S41)))</formula>
    </cfRule>
    <cfRule type="containsText" dxfId="4161" priority="3751" operator="containsText" text="VERACRUZ">
      <formula>NOT(ISERROR(SEARCH("VERACRUZ",S41)))</formula>
    </cfRule>
    <cfRule type="containsText" dxfId="4160" priority="3750" operator="containsText" text="MANZANILLO">
      <formula>NOT(ISERROR(SEARCH("MANZANILLO",S41)))</formula>
    </cfRule>
    <cfRule type="containsText" dxfId="4159" priority="3749" operator="containsText" text="TOLUCA">
      <formula>NOT(ISERROR(SEARCH("TOLUCA",S41)))</formula>
    </cfRule>
    <cfRule type="containsText" dxfId="4158" priority="3748" operator="containsText" text="LAREDO">
      <formula>NOT(ISERROR(SEARCH("LAREDO",S41)))</formula>
    </cfRule>
    <cfRule type="containsText" dxfId="4157" priority="3747" operator="containsText" text="AICM">
      <formula>NOT(ISERROR(SEARCH("AICM",S41)))</formula>
    </cfRule>
    <cfRule type="containsText" dxfId="4156" priority="3742" operator="containsText" text="ENTREGADO">
      <formula>NOT(ISERROR(SEARCH("ENTREGADO",S41)))</formula>
    </cfRule>
    <cfRule type="containsText" dxfId="4155" priority="3743" operator="containsText" text="ACCEL">
      <formula>NOT(ISERROR(SEARCH("ACCEL",S41)))</formula>
    </cfRule>
    <cfRule type="containsText" dxfId="4154" priority="3744" operator="containsText" text="TOLUCA">
      <formula>NOT(ISERROR(SEARCH("TOLUCA",S41)))</formula>
    </cfRule>
  </conditionalFormatting>
  <conditionalFormatting sqref="S77">
    <cfRule type="containsText" dxfId="4153" priority="2053" operator="containsText" text="DRAGON">
      <formula>NOT(ISERROR(SEARCH("DRAGON",S77)))</formula>
    </cfRule>
    <cfRule type="containsText" dxfId="4152" priority="2052" operator="containsText" text="TOLUCA">
      <formula>NOT(ISERROR(SEARCH("TOLUCA",S77)))</formula>
    </cfRule>
    <cfRule type="containsText" dxfId="4151" priority="2059" operator="containsText" text="VERACRUZ">
      <formula>NOT(ISERROR(SEARCH("VERACRUZ",S77)))</formula>
    </cfRule>
    <cfRule type="containsText" dxfId="4150" priority="2050" operator="containsText" text="ENTREGADO">
      <formula>NOT(ISERROR(SEARCH("ENTREGADO",S77)))</formula>
    </cfRule>
    <cfRule type="containsText" dxfId="4149" priority="2049" operator="containsText" text="PENDIENTE">
      <formula>NOT(ISERROR(SEARCH("PENDIENTE",S77)))</formula>
    </cfRule>
    <cfRule type="containsText" dxfId="4148" priority="2058" operator="containsText" text="MANZANILLO">
      <formula>NOT(ISERROR(SEARCH("MANZANILLO",S77)))</formula>
    </cfRule>
    <cfRule type="containsText" dxfId="4147" priority="2057" operator="containsText" text="TOLUCA">
      <formula>NOT(ISERROR(SEARCH("TOLUCA",S77)))</formula>
    </cfRule>
    <cfRule type="containsText" dxfId="4146" priority="2051" operator="containsText" text="ACCEL">
      <formula>NOT(ISERROR(SEARCH("ACCEL",S77)))</formula>
    </cfRule>
    <cfRule type="containsText" dxfId="4145" priority="2056" operator="containsText" text="LAREDO">
      <formula>NOT(ISERROR(SEARCH("LAREDO",S77)))</formula>
    </cfRule>
    <cfRule type="containsText" dxfId="4144" priority="2055" operator="containsText" text="AICM">
      <formula>NOT(ISERROR(SEARCH("AICM",S77)))</formula>
    </cfRule>
    <cfRule type="containsText" dxfId="4143" priority="2054" operator="containsText" text="AIFA">
      <formula>NOT(ISERROR(SEARCH("AIFA",S77)))</formula>
    </cfRule>
  </conditionalFormatting>
  <conditionalFormatting sqref="S18:T18">
    <cfRule type="containsText" dxfId="4142" priority="10355" operator="containsText" text="ENTREGADO">
      <formula>NOT(ISERROR(SEARCH("ENTREGADO",S18)))</formula>
    </cfRule>
  </conditionalFormatting>
  <conditionalFormatting sqref="S19:T19">
    <cfRule type="containsText" dxfId="4141" priority="14397" operator="containsText" text="ENTREGADO">
      <formula>NOT(ISERROR(SEARCH("ENTREGADO",S19)))</formula>
    </cfRule>
  </conditionalFormatting>
  <conditionalFormatting sqref="S9:X10">
    <cfRule type="containsText" dxfId="4140" priority="8143" operator="containsText" text="ENTREGADO">
      <formula>NOT(ISERROR(SEARCH("ENTREGADO",S9)))</formula>
    </cfRule>
  </conditionalFormatting>
  <conditionalFormatting sqref="S11:X11">
    <cfRule type="containsText" dxfId="4139" priority="8052" operator="containsText" text="ENTREGADO">
      <formula>NOT(ISERROR(SEARCH("ENTREGADO",S11)))</formula>
    </cfRule>
  </conditionalFormatting>
  <conditionalFormatting sqref="S12:X12">
    <cfRule type="containsText" dxfId="4138" priority="8766" operator="containsText" text="ENTREGADO">
      <formula>NOT(ISERROR(SEARCH("ENTREGADO",S12)))</formula>
    </cfRule>
  </conditionalFormatting>
  <conditionalFormatting sqref="S13:X14">
    <cfRule type="containsText" dxfId="4137" priority="8588" operator="containsText" text="ENTREGADO">
      <formula>NOT(ISERROR(SEARCH("ENTREGADO",S13)))</formula>
    </cfRule>
  </conditionalFormatting>
  <conditionalFormatting sqref="S15:X16">
    <cfRule type="containsText" dxfId="4136" priority="8410" operator="containsText" text="ENTREGADO">
      <formula>NOT(ISERROR(SEARCH("ENTREGADO",S15)))</formula>
    </cfRule>
  </conditionalFormatting>
  <conditionalFormatting sqref="S17:X17">
    <cfRule type="containsText" dxfId="4135" priority="8319" operator="containsText" text="ENTREGADO">
      <formula>NOT(ISERROR(SEARCH("ENTREGADO",S17)))</formula>
    </cfRule>
  </conditionalFormatting>
  <conditionalFormatting sqref="S28:X28">
    <cfRule type="containsText" dxfId="4134" priority="22919" operator="containsText" text="ENTREGADO">
      <formula>NOT(ISERROR(SEARCH("ENTREGADO",S28)))</formula>
    </cfRule>
    <cfRule type="containsText" dxfId="4133" priority="22918" operator="containsText" text="PENDIENTE">
      <formula>NOT(ISERROR(SEARCH("PENDIENTE",S28)))</formula>
    </cfRule>
  </conditionalFormatting>
  <conditionalFormatting sqref="S2:XFD2 S4:T4 AK4:AL4 AN4:BA4 AI27:AL27 AN27:AO27 AR27:BA27 AD27:AG30 AI28:AO28 AR28:AW28 AI29:AL30 AN29:AO30 AR29:BA30 AD32:AG32 AI32:AL32 AN32:AO32 AR32:BA32 AD34:AG34 AI34:AL34 AN34:AO34 AR34:BA34 AD40:AG40 AI40:AL40 AN40:AO40 AR40:BA40 BB57">
    <cfRule type="containsText" dxfId="4132" priority="27215" operator="containsText" text="PENDIENTE">
      <formula>NOT(ISERROR(SEARCH("PENDIENTE",S2)))</formula>
    </cfRule>
  </conditionalFormatting>
  <conditionalFormatting sqref="S2:XFD2 AK4:AL4 AN4:BA4 AN27:AO27 AR27:BA27 AD27:AG30 AI29:AL30 AN29:AO30 AR29:BA30 AD32:AG32 AI32:AL32 AN32:AO32 AR32:BA32 AD34:AG34 AI34:AL34 AN34:AO34 AR34:BA34 AD40:AG40 AI40:AL40 AN40:AO40 AR40:BA40 BB57 S4:T4 AI27:AL27 AI28:AO28 AR28:AW28">
    <cfRule type="containsText" dxfId="4131" priority="27214" operator="containsText" text="ENTREGADO">
      <formula>NOT(ISERROR(SEARCH("ENTREGADO",S2)))</formula>
    </cfRule>
  </conditionalFormatting>
  <conditionalFormatting sqref="T3 V3:W3 BH3:XFD3 E3 Y3:Z3">
    <cfRule type="containsText" dxfId="4130" priority="21166" operator="containsText" text="ENTREGADO">
      <formula>NOT(ISERROR(SEARCH("ENTREGADO",#REF!)))</formula>
    </cfRule>
  </conditionalFormatting>
  <conditionalFormatting sqref="T3 V3:W3 BH3:XFD3 Y3:AA3">
    <cfRule type="containsText" dxfId="4129" priority="21158" operator="containsText" text="ENTREGADO">
      <formula>NOT(ISERROR(SEARCH("ENTREGADO",T3)))</formula>
    </cfRule>
  </conditionalFormatting>
  <conditionalFormatting sqref="T4 V4:X4 AD4:AF4 AH4:AI4 BC4 BH4:XFD4 D4:E4 A4">
    <cfRule type="containsText" dxfId="4128" priority="18799" operator="containsText" text="PRIORIDAD">
      <formula>NOT(ISERROR(SEARCH("PRIORIDAD",A4)))</formula>
    </cfRule>
  </conditionalFormatting>
  <conditionalFormatting sqref="T4 V4:X4 AD4:AF4 AH4:AI4 BC4 BH4:XFD4">
    <cfRule type="containsText" dxfId="4127" priority="18796" operator="containsText" text="ENTREGADO">
      <formula>NOT(ISERROR(SEARCH("ENTREGADO",T4)))</formula>
    </cfRule>
  </conditionalFormatting>
  <conditionalFormatting sqref="T4 V4:X4 AD4:AF4 AH4:AI4 BH4:XFD4 BB4:BC4">
    <cfRule type="containsText" dxfId="4126" priority="18838" operator="containsText" text="PENDIENTE">
      <formula>NOT(ISERROR(SEARCH("PENDIENTE",T4)))</formula>
    </cfRule>
  </conditionalFormatting>
  <conditionalFormatting sqref="T4 V4:X4 AD4:AF4 AH4:AI4 BH4:XFD4 BC4">
    <cfRule type="containsText" dxfId="4125" priority="18837" operator="containsText" text="PENDIENTE">
      <formula>NOT(ISERROR(SEARCH("PENDIENTE",#REF!)))</formula>
    </cfRule>
  </conditionalFormatting>
  <conditionalFormatting sqref="T4 V4:X4 AD4:AF4 AH4:AI4 BH4:XFD4">
    <cfRule type="containsText" dxfId="4124" priority="18836" operator="containsText" text="ENTREGADO">
      <formula>NOT(ISERROR(SEARCH("ENTREGADO",T4)))</formula>
    </cfRule>
  </conditionalFormatting>
  <conditionalFormatting sqref="T4 AD4:AF4 BC4 V4:X4 BH4:XFD4 AH4:AI4">
    <cfRule type="containsText" dxfId="4123" priority="18795" operator="containsText" text="PENDIENTE">
      <formula>NOT(ISERROR(SEARCH("PENDIENTE",#REF!)))</formula>
    </cfRule>
    <cfRule type="containsText" dxfId="4122" priority="18845" operator="containsText" text="ENTREGADO">
      <formula>NOT(ISERROR(SEARCH("ENTREGADO",#REF!)))</formula>
    </cfRule>
    <cfRule type="containsText" dxfId="4121" priority="18827" operator="containsText" text="ENTREGADO">
      <formula>NOT(ISERROR(SEARCH("ENTREGADO",#REF!)))</formula>
    </cfRule>
  </conditionalFormatting>
  <conditionalFormatting sqref="T4">
    <cfRule type="containsText" dxfId="4120" priority="18808" operator="containsText" text="ENTREGADO">
      <formula>NOT(ISERROR(SEARCH("ENTREGADO",T4)))</formula>
    </cfRule>
    <cfRule type="containsText" dxfId="4119" priority="18807" operator="containsText" text="ENTREGADO">
      <formula>NOT(ISERROR(SEARCH("ENTREGADO",#REF!)))</formula>
    </cfRule>
    <cfRule type="containsText" dxfId="4118" priority="18809" operator="containsText" text="PENDIENTE">
      <formula>NOT(ISERROR(SEARCH("PENDIENTE",#REF!)))</formula>
    </cfRule>
    <cfRule type="containsText" dxfId="4117" priority="18806" operator="containsText" text="ENTREGADO">
      <formula>NOT(ISERROR(SEARCH("ENTREGADO",T4)))</formula>
    </cfRule>
    <cfRule type="containsText" dxfId="4116" priority="18810" operator="containsText" text="PENDIENTE">
      <formula>NOT(ISERROR(SEARCH("PENDIENTE",T4)))</formula>
    </cfRule>
    <cfRule type="containsText" dxfId="4115" priority="18811" operator="containsText" text="ENTREGADO">
      <formula>NOT(ISERROR(SEARCH("ENTREGADO",T4)))</formula>
    </cfRule>
  </conditionalFormatting>
  <conditionalFormatting sqref="T18 AX18:BC18 BH18:XFD18 G18:H18">
    <cfRule type="containsText" dxfId="4114" priority="10380" operator="containsText" text="ENTREGADO">
      <formula>NOT(ISERROR(SEARCH("ENTREGADO",#REF!)))</formula>
    </cfRule>
  </conditionalFormatting>
  <conditionalFormatting sqref="T20 G20:H20 AX20:BC20 A20 BH20:XFD20">
    <cfRule type="containsText" dxfId="4113" priority="13788" operator="containsText" text="PENDIENTE">
      <formula>NOT(ISERROR(SEARCH("PENDIENTE",#REF!)))</formula>
    </cfRule>
  </conditionalFormatting>
  <conditionalFormatting sqref="T20 AX20:BC20 BH20:XFD20">
    <cfRule type="containsText" dxfId="4112" priority="13781" operator="containsText" text="ENTREGADO">
      <formula>NOT(ISERROR(SEARCH("ENTREGADO",#REF!)))</formula>
    </cfRule>
    <cfRule type="containsText" dxfId="4111" priority="13780" operator="containsText" text="ENTREGADO">
      <formula>NOT(ISERROR(SEARCH("ENTREGADO",T20)))</formula>
    </cfRule>
  </conditionalFormatting>
  <conditionalFormatting sqref="T21 G21:H21 AX21:BC21 A21 BH21:XFD21">
    <cfRule type="containsText" dxfId="4110" priority="12717" operator="containsText" text="PENDIENTE">
      <formula>NOT(ISERROR(SEARCH("PENDIENTE",#REF!)))</formula>
    </cfRule>
  </conditionalFormatting>
  <conditionalFormatting sqref="T21 AX21:BC21 BH21:XFD21">
    <cfRule type="containsText" dxfId="4109" priority="12709" operator="containsText" text="ENTREGADO">
      <formula>NOT(ISERROR(SEARCH("ENTREGADO",T21)))</formula>
    </cfRule>
    <cfRule type="containsText" dxfId="4108" priority="12710" operator="containsText" text="ENTREGADO">
      <formula>NOT(ISERROR(SEARCH("ENTREGADO",#REF!)))</formula>
    </cfRule>
  </conditionalFormatting>
  <conditionalFormatting sqref="T22 G22:H22 AX22:BC22 A22 BH22:XFD22">
    <cfRule type="containsText" dxfId="4107" priority="10776" operator="containsText" text="PENDIENTE">
      <formula>NOT(ISERROR(SEARCH("PENDIENTE",#REF!)))</formula>
    </cfRule>
  </conditionalFormatting>
  <conditionalFormatting sqref="T22 AX22:BC22 BH22:XFD22">
    <cfRule type="containsText" dxfId="4106" priority="10769" operator="containsText" text="ENTREGADO">
      <formula>NOT(ISERROR(SEARCH("ENTREGADO",#REF!)))</formula>
    </cfRule>
    <cfRule type="containsText" dxfId="4105" priority="10768" operator="containsText" text="ENTREGADO">
      <formula>NOT(ISERROR(SEARCH("ENTREGADO",T22)))</formula>
    </cfRule>
  </conditionalFormatting>
  <conditionalFormatting sqref="T23 G23:H23 AX23:BC23 BH23:XFD23 A23">
    <cfRule type="containsText" dxfId="4104" priority="6906" operator="containsText" text="PENDIENTE">
      <formula>NOT(ISERROR(SEARCH("PENDIENTE",#REF!)))</formula>
    </cfRule>
  </conditionalFormatting>
  <conditionalFormatting sqref="T23 AX23:BC23 BH23:XFD23 G23:H23 A23">
    <cfRule type="containsText" dxfId="4103" priority="6899" operator="containsText" text="ENTREGADO">
      <formula>NOT(ISERROR(SEARCH("ENTREGADO",#REF!)))</formula>
    </cfRule>
  </conditionalFormatting>
  <conditionalFormatting sqref="T25 AX25:BC25">
    <cfRule type="containsText" dxfId="4102" priority="6377" operator="containsText" text="ENTREGADO">
      <formula>NOT(ISERROR(SEARCH("ENTREGADO",T25)))</formula>
    </cfRule>
    <cfRule type="containsText" dxfId="4101" priority="6369" operator="containsText" text="PENDIENTE">
      <formula>NOT(ISERROR(SEARCH("PENDIENTE",#REF!)))</formula>
    </cfRule>
    <cfRule type="containsText" dxfId="4100" priority="6342" operator="containsText" text="ENTREGADO">
      <formula>NOT(ISERROR(SEARCH("ENTREGADO",#REF!)))</formula>
    </cfRule>
  </conditionalFormatting>
  <conditionalFormatting sqref="T26 AX26:BC26">
    <cfRule type="containsText" dxfId="4099" priority="6303" operator="containsText" text="ENTREGADO">
      <formula>NOT(ISERROR(SEARCH("ENTREGADO",#REF!)))</formula>
    </cfRule>
    <cfRule type="containsText" dxfId="4098" priority="6330" operator="containsText" text="PENDIENTE">
      <formula>NOT(ISERROR(SEARCH("PENDIENTE",#REF!)))</formula>
    </cfRule>
    <cfRule type="containsText" dxfId="4097" priority="6338" operator="containsText" text="ENTREGADO">
      <formula>NOT(ISERROR(SEARCH("ENTREGADO",T26)))</formula>
    </cfRule>
  </conditionalFormatting>
  <conditionalFormatting sqref="T27 V27:X27 BC27 BH27:XFD27">
    <cfRule type="containsText" dxfId="4096" priority="12351" operator="containsText" text="ENTREGADO">
      <formula>NOT(ISERROR(SEARCH("ENTREGADO",T27)))</formula>
    </cfRule>
    <cfRule type="containsText" dxfId="4095" priority="12354" operator="containsText" text="ENTREGADO">
      <formula>NOT(ISERROR(SEARCH("ENTREGADO",T27)))</formula>
    </cfRule>
    <cfRule type="containsText" dxfId="4094" priority="12353" operator="containsText" text="PENDIENTE">
      <formula>NOT(ISERROR(SEARCH("PENDIENTE",T27)))</formula>
    </cfRule>
  </conditionalFormatting>
  <conditionalFormatting sqref="T27 BB27:BC27 BH27:XFD27 V27:X27 BB27:BB34">
    <cfRule type="containsText" dxfId="4093" priority="12352" operator="containsText" text="PENDIENTE">
      <formula>NOT(ISERROR(SEARCH("PENDIENTE",#REF!)))</formula>
    </cfRule>
  </conditionalFormatting>
  <conditionalFormatting sqref="T27 BC27 BH27:XFD27 V27:X27">
    <cfRule type="containsText" dxfId="4092" priority="12356" operator="containsText" text="ENTREGADO">
      <formula>NOT(ISERROR(SEARCH("ENTREGADO",#REF!)))</formula>
    </cfRule>
    <cfRule type="containsText" dxfId="4091" priority="12343" operator="containsText" text="ENTREGADO">
      <formula>NOT(ISERROR(SEARCH("ENTREGADO",#REF!)))</formula>
    </cfRule>
  </conditionalFormatting>
  <conditionalFormatting sqref="T27">
    <cfRule type="containsText" dxfId="4090" priority="12330" operator="containsText" text="PENDIENTE">
      <formula>NOT(ISERROR(SEARCH("PENDIENTE",T27)))</formula>
    </cfRule>
    <cfRule type="containsText" dxfId="4089" priority="12329" operator="containsText" text="PENDIENTE">
      <formula>NOT(ISERROR(SEARCH("PENDIENTE",#REF!)))</formula>
    </cfRule>
    <cfRule type="containsText" dxfId="4088" priority="12328" operator="containsText" text="ENTREGADO">
      <formula>NOT(ISERROR(SEARCH("ENTREGADO",T27)))</formula>
    </cfRule>
    <cfRule type="containsText" dxfId="4087" priority="12327" operator="containsText" text="ENTREGADO">
      <formula>NOT(ISERROR(SEARCH("ENTREGADO",#REF!)))</formula>
    </cfRule>
    <cfRule type="containsText" dxfId="4086" priority="12326" operator="containsText" text="ENTREGADO">
      <formula>NOT(ISERROR(SEARCH("ENTREGADO",T27)))</formula>
    </cfRule>
    <cfRule type="containsText" dxfId="4085" priority="12331" operator="containsText" text="ENTREGADO">
      <formula>NOT(ISERROR(SEARCH("ENTREGADO",T27)))</formula>
    </cfRule>
  </conditionalFormatting>
  <conditionalFormatting sqref="T28">
    <cfRule type="containsText" dxfId="4084" priority="22903" operator="containsText" text="ENTREGADO">
      <formula>NOT(ISERROR(SEARCH("ENTREGADO",T28)))</formula>
    </cfRule>
  </conditionalFormatting>
  <conditionalFormatting sqref="T29">
    <cfRule type="containsText" dxfId="4083" priority="20607" operator="containsText" text="ENTREGADO">
      <formula>NOT(ISERROR(SEARCH("ENTREGADO",T29)))</formula>
    </cfRule>
  </conditionalFormatting>
  <conditionalFormatting sqref="T30 V30:X30 BC30 BH30:XFD30">
    <cfRule type="containsText" dxfId="4082" priority="19047" operator="containsText" text="ENTREGADO">
      <formula>NOT(ISERROR(SEARCH("ENTREGADO",T30)))</formula>
    </cfRule>
  </conditionalFormatting>
  <conditionalFormatting sqref="T30 V30:X30 BH30:XFD30 BC30">
    <cfRule type="containsText" dxfId="4081" priority="19006" operator="containsText" text="PENDIENTE">
      <formula>NOT(ISERROR(SEARCH("PENDIENTE",T30)))</formula>
    </cfRule>
  </conditionalFormatting>
  <conditionalFormatting sqref="T30 BB30:BC30 BH30:XFD30 V30:X30">
    <cfRule type="containsText" dxfId="4080" priority="19048" operator="containsText" text="PENDIENTE">
      <formula>NOT(ISERROR(SEARCH("PENDIENTE",#REF!)))</formula>
    </cfRule>
  </conditionalFormatting>
  <conditionalFormatting sqref="T30 BC30 BH30:XFD30 P30 G30:H30 K30:N30 V30:X30">
    <cfRule type="containsText" dxfId="4079" priority="19012" operator="containsText" text="ENTREGADO">
      <formula>NOT(ISERROR(SEARCH("ENTREGADO",G30)))</formula>
    </cfRule>
  </conditionalFormatting>
  <conditionalFormatting sqref="T30 BC30 BH30:XFD30 V30:X30">
    <cfRule type="containsText" dxfId="4078" priority="19050" operator="containsText" text="ENTREGADO">
      <formula>NOT(ISERROR(SEARCH("ENTREGADO",T30)))</formula>
    </cfRule>
    <cfRule type="containsText" dxfId="4077" priority="19052" operator="containsText" text="ENTREGADO">
      <formula>NOT(ISERROR(SEARCH("ENTREGADO",#REF!)))</formula>
    </cfRule>
    <cfRule type="containsText" dxfId="4076" priority="19039" operator="containsText" text="ENTREGADO">
      <formula>NOT(ISERROR(SEARCH("ENTREGADO",#REF!)))</formula>
    </cfRule>
  </conditionalFormatting>
  <conditionalFormatting sqref="T30 BH30:XFD30 V30:X30">
    <cfRule type="containsText" dxfId="4075" priority="19010" operator="containsText" text="PENDIENTE">
      <formula>NOT(ISERROR(SEARCH("PENDIENTE",#REF!)))</formula>
    </cfRule>
  </conditionalFormatting>
  <conditionalFormatting sqref="T30">
    <cfRule type="containsText" dxfId="4074" priority="19025" operator="containsText" text="PENDIENTE">
      <formula>NOT(ISERROR(SEARCH("PENDIENTE",#REF!)))</formula>
    </cfRule>
    <cfRule type="containsText" dxfId="4073" priority="19024" operator="containsText" text="ENTREGADO">
      <formula>NOT(ISERROR(SEARCH("ENTREGADO",T30)))</formula>
    </cfRule>
    <cfRule type="containsText" dxfId="4072" priority="19023" operator="containsText" text="ENTREGADO">
      <formula>NOT(ISERROR(SEARCH("ENTREGADO",#REF!)))</formula>
    </cfRule>
    <cfRule type="containsText" dxfId="4071" priority="19022" operator="containsText" text="ENTREGADO">
      <formula>NOT(ISERROR(SEARCH("ENTREGADO",T30)))</formula>
    </cfRule>
    <cfRule type="containsText" dxfId="4070" priority="19027" operator="containsText" text="ENTREGADO">
      <formula>NOT(ISERROR(SEARCH("ENTREGADO",T30)))</formula>
    </cfRule>
    <cfRule type="containsText" dxfId="4069" priority="19026" operator="containsText" text="PENDIENTE">
      <formula>NOT(ISERROR(SEARCH("PENDIENTE",T30)))</formula>
    </cfRule>
  </conditionalFormatting>
  <conditionalFormatting sqref="T30:T31 BH30:XFD32 V31:X31 AD31:AG31 AI31:AL31 AN31:AO31 AR31:AW31 AY31:BA31 BC31">
    <cfRule type="containsText" dxfId="4068" priority="17443" operator="containsText" text="PENDIENTE">
      <formula>NOT(ISERROR(SEARCH("PENDIENTE",T30)))</formula>
    </cfRule>
  </conditionalFormatting>
  <conditionalFormatting sqref="T31 V31:X31 AD31:AG31 AI31:AL31 AN31:AO31 AR31:AW31 BH31:XFD31 AY31:BC31">
    <cfRule type="containsText" dxfId="4067" priority="17444" operator="containsText" text="ENTREGADO">
      <formula>NOT(ISERROR(SEARCH("ENTREGADO",T31)))</formula>
    </cfRule>
  </conditionalFormatting>
  <conditionalFormatting sqref="T31 V31:X31 AD31:AG31 BC31 BH31:XFD31 AI31:AL31 AN31:AO31 AR31:AW31 AY31:BA31">
    <cfRule type="containsText" dxfId="4066" priority="17442" operator="containsText" text="PENDIENTE">
      <formula>NOT(ISERROR(SEARCH("PENDIENTE",#REF!)))</formula>
    </cfRule>
  </conditionalFormatting>
  <conditionalFormatting sqref="T31 BC31 BH31:XFD31 V31:X31 AD31:AG31 AI31:AL31 AN31:AO31 AR31:AW31 AY31:BA31">
    <cfRule type="containsText" dxfId="4065" priority="17441" operator="containsText" text="ENTREGADO">
      <formula>NOT(ISERROR(SEARCH("ENTREGADO",T31)))</formula>
    </cfRule>
  </conditionalFormatting>
  <conditionalFormatting sqref="T31">
    <cfRule type="containsText" dxfId="4064" priority="17391" operator="containsText" text="ENTREGADO">
      <formula>NOT(ISERROR(SEARCH("ENTREGADO",T31)))</formula>
    </cfRule>
  </conditionalFormatting>
  <conditionalFormatting sqref="T32">
    <cfRule type="containsText" dxfId="4063" priority="19903" operator="containsText" text="ENTREGADO">
      <formula>NOT(ISERROR(SEARCH("ENTREGADO",T32)))</formula>
    </cfRule>
  </conditionalFormatting>
  <conditionalFormatting sqref="T33 V33:W33 Y33:AA33 BD33:XFD33">
    <cfRule type="containsText" dxfId="4062" priority="5926" operator="containsText" text="ENTREGADO">
      <formula>NOT(ISERROR(SEARCH("ENTREGADO",T33)))</formula>
    </cfRule>
  </conditionalFormatting>
  <conditionalFormatting sqref="T33 V33:W33 BH33:XFD33 Y33:Z33">
    <cfRule type="containsText" dxfId="4061" priority="5933" operator="containsText" text="ENTREGADO">
      <formula>NOT(ISERROR(SEARCH("ENTREGADO",#REF!)))</formula>
    </cfRule>
  </conditionalFormatting>
  <conditionalFormatting sqref="T34">
    <cfRule type="containsText" dxfId="4060" priority="20255" operator="containsText" text="ENTREGADO">
      <formula>NOT(ISERROR(SEARCH("ENTREGADO",T34)))</formula>
    </cfRule>
  </conditionalFormatting>
  <conditionalFormatting sqref="T35 V35:X35 AD35:AG35 AI35:AL35 AN35:AO35 AR35:BA35 BC35 BH35:XFD35">
    <cfRule type="containsText" dxfId="4059" priority="17295" operator="containsText" text="ENTREGADO">
      <formula>NOT(ISERROR(SEARCH("ENTREGADO",T35)))</formula>
    </cfRule>
  </conditionalFormatting>
  <conditionalFormatting sqref="T35 V35:X35 AD35:AG35 BC35 BH35:XFD35 A35 AI35:AL35 AN35:AO35 AR35:BA35">
    <cfRule type="containsText" dxfId="4058" priority="17296" operator="containsText" text="PENDIENTE">
      <formula>NOT(ISERROR(SEARCH("PENDIENTE",#REF!)))</formula>
    </cfRule>
  </conditionalFormatting>
  <conditionalFormatting sqref="T35">
    <cfRule type="containsText" dxfId="4057" priority="17283" operator="containsText" text="ENTREGADO">
      <formula>NOT(ISERROR(SEARCH("ENTREGADO",#REF!)))</formula>
    </cfRule>
  </conditionalFormatting>
  <conditionalFormatting sqref="T36 A36 BC36 V36:X36 AD36:AG36 BH36:XFD36 AI36:AO36 AR36:BA36">
    <cfRule type="containsText" dxfId="4056" priority="17176" operator="containsText" text="PENDIENTE">
      <formula>NOT(ISERROR(SEARCH("PENDIENTE",#REF!)))</formula>
    </cfRule>
  </conditionalFormatting>
  <conditionalFormatting sqref="T36 V36:X36 AD36:AG36 AI36:AO36 AR36:BA36 BC36 BH36:XFD36 A36">
    <cfRule type="containsText" dxfId="4055" priority="17177" operator="containsText" text="PENDIENTE">
      <formula>NOT(ISERROR(SEARCH("PENDIENTE",A36)))</formula>
    </cfRule>
  </conditionalFormatting>
  <conditionalFormatting sqref="T36 V36:X36 AD36:AG36 AI36:AO36 AR36:BA36 BC36 BH36:XFD36">
    <cfRule type="containsText" dxfId="4054" priority="17175" operator="containsText" text="ENTREGADO">
      <formula>NOT(ISERROR(SEARCH("ENTREGADO",T36)))</formula>
    </cfRule>
  </conditionalFormatting>
  <conditionalFormatting sqref="T36">
    <cfRule type="containsText" dxfId="4053" priority="17162" operator="containsText" text="ENTREGADO">
      <formula>NOT(ISERROR(SEARCH("ENTREGADO",T36)))</formula>
    </cfRule>
    <cfRule type="containsText" dxfId="4052" priority="17163" operator="containsText" text="ENTREGADO">
      <formula>NOT(ISERROR(SEARCH("ENTREGADO",#REF!)))</formula>
    </cfRule>
  </conditionalFormatting>
  <conditionalFormatting sqref="T37 V37:X37 AD37:AG37 AI37:AL37 AN37:AO37 AR37:BA37 BC37 BH37:XFD37 A37">
    <cfRule type="containsText" dxfId="4051" priority="15758" operator="containsText" text="PENDIENTE">
      <formula>NOT(ISERROR(SEARCH("PENDIENTE",A37)))</formula>
    </cfRule>
  </conditionalFormatting>
  <conditionalFormatting sqref="T37 V37:X37 AD37:AG37 AI37:AL37 AN37:AO37 AR37:BA37 BC37 BH37:XFD37">
    <cfRule type="containsText" dxfId="4050" priority="15756" operator="containsText" text="ENTREGADO">
      <formula>NOT(ISERROR(SEARCH("ENTREGADO",T37)))</formula>
    </cfRule>
  </conditionalFormatting>
  <conditionalFormatting sqref="T37 V37:X37 AD37:AG37 BC37 BH37:XFD37 A37 AI37:AL37 AN37:AO37 AR37:BA37">
    <cfRule type="containsText" dxfId="4049" priority="15757" operator="containsText" text="PENDIENTE">
      <formula>NOT(ISERROR(SEARCH("PENDIENTE",#REF!)))</formula>
    </cfRule>
  </conditionalFormatting>
  <conditionalFormatting sqref="T37">
    <cfRule type="containsText" dxfId="4048" priority="15744" operator="containsText" text="ENTREGADO">
      <formula>NOT(ISERROR(SEARCH("ENTREGADO",#REF!)))</formula>
    </cfRule>
    <cfRule type="containsText" dxfId="4047" priority="15743" operator="containsText" text="ENTREGADO">
      <formula>NOT(ISERROR(SEARCH("ENTREGADO",T37)))</formula>
    </cfRule>
  </conditionalFormatting>
  <conditionalFormatting sqref="T38 V38:X38">
    <cfRule type="containsText" dxfId="4046" priority="15608" operator="containsText" text="ENTREGADO">
      <formula>NOT(ISERROR(SEARCH("ENTREGADO",T38)))</formula>
    </cfRule>
    <cfRule type="containsText" dxfId="4045" priority="15609" operator="containsText" text="PENDIENTE">
      <formula>NOT(ISERROR(SEARCH("PENDIENTE",#REF!)))</formula>
    </cfRule>
    <cfRule type="containsText" dxfId="4044" priority="15610" operator="containsText" text="PENDIENTE">
      <formula>NOT(ISERROR(SEARCH("PENDIENTE",T38)))</formula>
    </cfRule>
    <cfRule type="containsText" dxfId="4043" priority="15611" operator="containsText" text="ENTREGADO">
      <formula>NOT(ISERROR(SEARCH("ENTREGADO",T38)))</formula>
    </cfRule>
  </conditionalFormatting>
  <conditionalFormatting sqref="T38">
    <cfRule type="containsText" dxfId="4042" priority="15607" operator="containsText" text="ENTREGADO">
      <formula>NOT(ISERROR(SEARCH("ENTREGADO",#REF!)))</formula>
    </cfRule>
    <cfRule type="containsText" dxfId="4041" priority="15606" operator="containsText" text="ENTREGADO">
      <formula>NOT(ISERROR(SEARCH("ENTREGADO",T38)))</formula>
    </cfRule>
  </conditionalFormatting>
  <conditionalFormatting sqref="T39 V39:X39 BC39 BH39:XFD39">
    <cfRule type="containsText" dxfId="4040" priority="4266" operator="containsText" text="PENDIENTE">
      <formula>NOT(ISERROR(SEARCH("PENDIENTE",T39)))</formula>
    </cfRule>
    <cfRule type="containsText" dxfId="4039" priority="4267" operator="containsText" text="ENTREGADO">
      <formula>NOT(ISERROR(SEARCH("ENTREGADO",T39)))</formula>
    </cfRule>
    <cfRule type="containsText" dxfId="4038" priority="4264" operator="containsText" text="ENTREGADO">
      <formula>NOT(ISERROR(SEARCH("ENTREGADO",T39)))</formula>
    </cfRule>
  </conditionalFormatting>
  <conditionalFormatting sqref="T39 BB39:BC39 BH39:XFD39 V39:X39">
    <cfRule type="containsText" dxfId="4037" priority="4265" operator="containsText" text="PENDIENTE">
      <formula>NOT(ISERROR(SEARCH("PENDIENTE",#REF!)))</formula>
    </cfRule>
  </conditionalFormatting>
  <conditionalFormatting sqref="T39 BC39 BH39:XFD39 V39:X39">
    <cfRule type="containsText" dxfId="4036" priority="4269" operator="containsText" text="ENTREGADO">
      <formula>NOT(ISERROR(SEARCH("ENTREGADO",#REF!)))</formula>
    </cfRule>
    <cfRule type="containsText" dxfId="4035" priority="4258" operator="containsText" text="ENTREGADO">
      <formula>NOT(ISERROR(SEARCH("ENTREGADO",#REF!)))</formula>
    </cfRule>
  </conditionalFormatting>
  <conditionalFormatting sqref="T39">
    <cfRule type="containsText" dxfId="4034" priority="4245" operator="containsText" text="PENDIENTE">
      <formula>NOT(ISERROR(SEARCH("PENDIENTE",#REF!)))</formula>
    </cfRule>
    <cfRule type="containsText" dxfId="4033" priority="4246" operator="containsText" text="PENDIENTE">
      <formula>NOT(ISERROR(SEARCH("PENDIENTE",T39)))</formula>
    </cfRule>
    <cfRule type="containsText" dxfId="4032" priority="4243" operator="containsText" text="ENTREGADO">
      <formula>NOT(ISERROR(SEARCH("ENTREGADO",#REF!)))</formula>
    </cfRule>
    <cfRule type="containsText" dxfId="4031" priority="4242" operator="containsText" text="ENTREGADO">
      <formula>NOT(ISERROR(SEARCH("ENTREGADO",T39)))</formula>
    </cfRule>
    <cfRule type="containsText" dxfId="4030" priority="4247" operator="containsText" text="ENTREGADO">
      <formula>NOT(ISERROR(SEARCH("ENTREGADO",T39)))</formula>
    </cfRule>
    <cfRule type="containsText" dxfId="4029" priority="4244" operator="containsText" text="ENTREGADO">
      <formula>NOT(ISERROR(SEARCH("ENTREGADO",T39)))</formula>
    </cfRule>
  </conditionalFormatting>
  <conditionalFormatting sqref="T40">
    <cfRule type="containsText" dxfId="4028" priority="7261" operator="containsText" text="ENTREGADO">
      <formula>NOT(ISERROR(SEARCH("ENTREGADO",T40)))</formula>
    </cfRule>
  </conditionalFormatting>
  <conditionalFormatting sqref="T41">
    <cfRule type="containsText" dxfId="4027" priority="3879" operator="containsText" text="ENTREGADO">
      <formula>NOT(ISERROR(SEARCH("ENTREGADO",T41)))</formula>
    </cfRule>
  </conditionalFormatting>
  <conditionalFormatting sqref="T42:T44 V42:X44">
    <cfRule type="containsText" dxfId="4026" priority="12833" operator="containsText" text="ENTREGADO">
      <formula>NOT(ISERROR(SEARCH("ENTREGADO",T42)))</formula>
    </cfRule>
    <cfRule type="containsText" dxfId="4025" priority="12832" operator="containsText" text="PENDIENTE">
      <formula>NOT(ISERROR(SEARCH("PENDIENTE",T42)))</formula>
    </cfRule>
    <cfRule type="containsText" dxfId="4024" priority="12831" operator="containsText" text="PENDIENTE">
      <formula>NOT(ISERROR(SEARCH("PENDIENTE",#REF!)))</formula>
    </cfRule>
    <cfRule type="containsText" dxfId="4023" priority="12830" operator="containsText" text="ENTREGADO">
      <formula>NOT(ISERROR(SEARCH("ENTREGADO",T42)))</formula>
    </cfRule>
  </conditionalFormatting>
  <conditionalFormatting sqref="T42:T44">
    <cfRule type="containsText" dxfId="4022" priority="12829" operator="containsText" text="ENTREGADO">
      <formula>NOT(ISERROR(SEARCH("ENTREGADO",#REF!)))</formula>
    </cfRule>
  </conditionalFormatting>
  <conditionalFormatting sqref="T45 A45 BC45 V45:X45 AD45:AG45 BH45:XFD45 AI45:AL45 AN45:AO45 AR45:BA45">
    <cfRule type="containsText" dxfId="4021" priority="11690" operator="containsText" text="PENDIENTE">
      <formula>NOT(ISERROR(SEARCH("PENDIENTE",#REF!)))</formula>
    </cfRule>
  </conditionalFormatting>
  <conditionalFormatting sqref="T45 V45:X45 AD45:AG45 AI45:AL45 AN45:AO45 AR45:BA45 BC45 BH45:XFD45 A45">
    <cfRule type="containsText" dxfId="4020" priority="11691" operator="containsText" text="PENDIENTE">
      <formula>NOT(ISERROR(SEARCH("PENDIENTE",A45)))</formula>
    </cfRule>
  </conditionalFormatting>
  <conditionalFormatting sqref="T45 V45:X45 AD45:AG45 AI45:AL45 AN45:AO45 AR45:BA45 BC45 BH45:XFD45">
    <cfRule type="containsText" dxfId="4019" priority="11689" operator="containsText" text="ENTREGADO">
      <formula>NOT(ISERROR(SEARCH("ENTREGADO",T45)))</formula>
    </cfRule>
  </conditionalFormatting>
  <conditionalFormatting sqref="T45">
    <cfRule type="containsText" dxfId="4018" priority="11676" operator="containsText" text="ENTREGADO">
      <formula>NOT(ISERROR(SEARCH("ENTREGADO",T45)))</formula>
    </cfRule>
    <cfRule type="containsText" dxfId="4017" priority="11677" operator="containsText" text="ENTREGADO">
      <formula>NOT(ISERROR(SEARCH("ENTREGADO",#REF!)))</formula>
    </cfRule>
  </conditionalFormatting>
  <conditionalFormatting sqref="T46:T49 A46:A49 BC46:BC49 V46:X49 AD46:AG49 BH46:XFD49 AI46:AL49 AN46:AO49 AR46:BA49">
    <cfRule type="containsText" dxfId="4016" priority="4417" operator="containsText" text="PENDIENTE">
      <formula>NOT(ISERROR(SEARCH("PENDIENTE",#REF!)))</formula>
    </cfRule>
  </conditionalFormatting>
  <conditionalFormatting sqref="T46:T49 V46:X49 AD46:AG49 AI46:AL49 AN46:AO49 AR46:BA49 BC46:BC49 BH46:XFD49 A46:A49">
    <cfRule type="containsText" dxfId="4015" priority="4418" operator="containsText" text="PENDIENTE">
      <formula>NOT(ISERROR(SEARCH("PENDIENTE",A46)))</formula>
    </cfRule>
  </conditionalFormatting>
  <conditionalFormatting sqref="T46:T49 V46:X49 AD46:AG49 AI46:AL49 AN46:AO49 AR46:BA49 BC46:BC49 BH46:XFD49">
    <cfRule type="containsText" dxfId="4014" priority="4416" operator="containsText" text="ENTREGADO">
      <formula>NOT(ISERROR(SEARCH("ENTREGADO",T46)))</formula>
    </cfRule>
  </conditionalFormatting>
  <conditionalFormatting sqref="T46:T49">
    <cfRule type="containsText" dxfId="4013" priority="4411" operator="containsText" text="ENTREGADO">
      <formula>NOT(ISERROR(SEARCH("ENTREGADO",#REF!)))</formula>
    </cfRule>
    <cfRule type="containsText" dxfId="4012" priority="4410" operator="containsText" text="ENTREGADO">
      <formula>NOT(ISERROR(SEARCH("ENTREGADO",T46)))</formula>
    </cfRule>
  </conditionalFormatting>
  <conditionalFormatting sqref="T50 V50:X50 AD50:AG50 AI50:AL50 AN50:AO50 AR50:BA50 BC50 BH50:XFD50 A50">
    <cfRule type="containsText" dxfId="4011" priority="9210" operator="containsText" text="PENDIENTE">
      <formula>NOT(ISERROR(SEARCH("PENDIENTE",A50)))</formula>
    </cfRule>
  </conditionalFormatting>
  <conditionalFormatting sqref="T50 V50:X50 AD50:AG50 BC50 BH50:XFD50 A50 AI50:AL50 AN50:AO50 AR50:BA50">
    <cfRule type="containsText" dxfId="4010" priority="9209" operator="containsText" text="PENDIENTE">
      <formula>NOT(ISERROR(SEARCH("PENDIENTE",#REF!)))</formula>
    </cfRule>
  </conditionalFormatting>
  <conditionalFormatting sqref="T50 BC50:XFD50 V50:X50 AD50:AG50 AI50:AL50 AN50:AO50 AR50:BA50">
    <cfRule type="containsText" dxfId="4009" priority="9208" operator="containsText" text="ENTREGADO">
      <formula>NOT(ISERROR(SEARCH("ENTREGADO",T50)))</formula>
    </cfRule>
  </conditionalFormatting>
  <conditionalFormatting sqref="T50 BC50:XFD50">
    <cfRule type="containsText" dxfId="4008" priority="9195" operator="containsText" text="ENTREGADO">
      <formula>NOT(ISERROR(SEARCH("ENTREGADO",T50)))</formula>
    </cfRule>
  </conditionalFormatting>
  <conditionalFormatting sqref="T50 BH42:XFD45 BC45 BC50 BH50:XFD50">
    <cfRule type="containsText" dxfId="4007" priority="9196" operator="containsText" text="ENTREGADO">
      <formula>NOT(ISERROR(SEARCH("ENTREGADO",#REF!)))</formula>
    </cfRule>
  </conditionalFormatting>
  <conditionalFormatting sqref="T51">
    <cfRule type="containsText" dxfId="4006" priority="1932" operator="containsText" text="PENDIENTE">
      <formula>NOT(ISERROR(SEARCH("PENDIENTE",#REF!)))</formula>
    </cfRule>
    <cfRule type="containsText" dxfId="4005" priority="1931" operator="containsText" text="ENTREGADO">
      <formula>NOT(ISERROR(SEARCH("ENTREGADO",T51)))</formula>
    </cfRule>
    <cfRule type="containsText" dxfId="4004" priority="1930" operator="containsText" text="ENTREGADO">
      <formula>NOT(ISERROR(SEARCH("ENTREGADO",#REF!)))</formula>
    </cfRule>
    <cfRule type="containsText" dxfId="4003" priority="1933" operator="containsText" text="PENDIENTE">
      <formula>NOT(ISERROR(SEARCH("PENDIENTE",T51)))</formula>
    </cfRule>
    <cfRule type="containsText" dxfId="4002" priority="1934" operator="containsText" text="ENTREGADO">
      <formula>NOT(ISERROR(SEARCH("ENTREGADO",T51)))</formula>
    </cfRule>
    <cfRule type="containsText" dxfId="4001" priority="1929" operator="containsText" text="ENTREGADO">
      <formula>NOT(ISERROR(SEARCH("ENTREGADO",T51)))</formula>
    </cfRule>
    <cfRule type="containsText" dxfId="4000" priority="1928" operator="containsText" text="PRIORIDAD">
      <formula>NOT(ISERROR(SEARCH("PRIORIDAD",T51)))</formula>
    </cfRule>
  </conditionalFormatting>
  <conditionalFormatting sqref="T52:T53 A52:A53 BC52:BC53 V52:X53 AD52:AG53 BH52:XFD53 AI52:AL53 AN52:AO53 AR52:BA53">
    <cfRule type="containsText" dxfId="3999" priority="11126" operator="containsText" text="PENDIENTE">
      <formula>NOT(ISERROR(SEARCH("PENDIENTE",#REF!)))</formula>
    </cfRule>
  </conditionalFormatting>
  <conditionalFormatting sqref="T52:T53 V52:X53 AD52:AG53 AI52:AL53 AN52:AO53 AR52:BA53 BC52:BC53 BH52:XFD53 A52:A53 A57">
    <cfRule type="containsText" dxfId="3998" priority="11127" operator="containsText" text="PENDIENTE">
      <formula>NOT(ISERROR(SEARCH("PENDIENTE",A52)))</formula>
    </cfRule>
  </conditionalFormatting>
  <conditionalFormatting sqref="T53 A53 BC53 V53:X53 AD53:AG53 BH53:XFD53 AI53:AL53 AN53:AO53 AR53:BA53">
    <cfRule type="containsText" dxfId="3997" priority="245" operator="containsText" text="PENDIENTE">
      <formula>NOT(ISERROR(SEARCH("PENDIENTE",#REF!)))</formula>
    </cfRule>
  </conditionalFormatting>
  <conditionalFormatting sqref="T53 V53:X53 AD53:AG53 AI53:AL53 AN53:AO53 AR53:BA53 BC53 BH53:XFD53 A53">
    <cfRule type="containsText" dxfId="3996" priority="246" operator="containsText" text="PENDIENTE">
      <formula>NOT(ISERROR(SEARCH("PENDIENTE",A53)))</formula>
    </cfRule>
  </conditionalFormatting>
  <conditionalFormatting sqref="T53 V53:X53 AD53:AG53 AI53:AL53 AN53:AO53 AR53:BA53 BC53 BH53:XFD53">
    <cfRule type="containsText" dxfId="3995" priority="244" operator="containsText" text="ENTREGADO">
      <formula>NOT(ISERROR(SEARCH("ENTREGADO",T53)))</formula>
    </cfRule>
  </conditionalFormatting>
  <conditionalFormatting sqref="T53 V53:X53 BB53:XFD53 AN53:AO53 AI53:AL53 AD53:AG53 A53">
    <cfRule type="containsText" dxfId="3994" priority="247" operator="containsText" text="ENTREGADO">
      <formula>NOT(ISERROR(SEARCH("ENTREGADO",A53)))</formula>
    </cfRule>
  </conditionalFormatting>
  <conditionalFormatting sqref="T53 V53:X53 BH53:XFD53 AR53:BA53 BC53 AI53:AL53 AN53:AO53 AD53:AG53">
    <cfRule type="containsText" dxfId="3993" priority="237" operator="containsText" text="ENTREGADO">
      <formula>NOT(ISERROR(SEARCH("ENTREGADO",T53)))</formula>
    </cfRule>
  </conditionalFormatting>
  <conditionalFormatting sqref="T53 BC53 V53:X53 AD53:AG53 BH53:XFD53 AI53:AL53 AN53:AO53 AR53:BA53">
    <cfRule type="containsText" dxfId="3992" priority="238" operator="containsText" text="ENTREGADO">
      <formula>NOT(ISERROR(SEARCH("ENTREGADO",#REF!)))</formula>
    </cfRule>
  </conditionalFormatting>
  <conditionalFormatting sqref="T54 A54 BC54 V54:X54 AD54:AG54 BH54:XFD54 AI54:AL54 AN54:AO54 AR54:BA54">
    <cfRule type="containsText" dxfId="3991" priority="7852" operator="containsText" text="PENDIENTE">
      <formula>NOT(ISERROR(SEARCH("PENDIENTE",#REF!)))</formula>
    </cfRule>
  </conditionalFormatting>
  <conditionalFormatting sqref="T54 V54:X54 AD54:AG54 AI54:AL54 AN54:AO54 AR54:BA54 BC54 BH54:XFD54 A54">
    <cfRule type="containsText" dxfId="3990" priority="7853" operator="containsText" text="PENDIENTE">
      <formula>NOT(ISERROR(SEARCH("PENDIENTE",A54)))</formula>
    </cfRule>
  </conditionalFormatting>
  <conditionalFormatting sqref="T54 V54:X54 AD54:AG54 AI54:AL54 AN54:AO54 AR54:BA54 BC54 BH54:XFD54">
    <cfRule type="containsText" dxfId="3989" priority="7851" operator="containsText" text="ENTREGADO">
      <formula>NOT(ISERROR(SEARCH("ENTREGADO",T54)))</formula>
    </cfRule>
  </conditionalFormatting>
  <conditionalFormatting sqref="T54 V54:X54 BH54:XFD54 AR54:BA54 BC54 AI54:AL54 AN54:AO54 AD54:AG54">
    <cfRule type="containsText" dxfId="3988" priority="7838" operator="containsText" text="ENTREGADO">
      <formula>NOT(ISERROR(SEARCH("ENTREGADO",T54)))</formula>
    </cfRule>
  </conditionalFormatting>
  <conditionalFormatting sqref="T54 BC54 V54:X54 AD54:AG54 BH54:XFD54 AI54:AL54 AN54:AO54 AR54:BA54">
    <cfRule type="containsText" dxfId="3987" priority="7839" operator="containsText" text="ENTREGADO">
      <formula>NOT(ISERROR(SEARCH("ENTREGADO",#REF!)))</formula>
    </cfRule>
  </conditionalFormatting>
  <conditionalFormatting sqref="T55 V55:X55 AD55:AG55 AI55:AL55 AN55:AO55 AR55:BA55 BC55 BH55:XFD55">
    <cfRule type="containsText" dxfId="3986" priority="632" operator="containsText" text="PENDIENTE">
      <formula>NOT(ISERROR(SEARCH("PENDIENTE",T55)))</formula>
    </cfRule>
  </conditionalFormatting>
  <conditionalFormatting sqref="T55 BC55 V55:X55 AD55:AG55 BH55:XFD55 AI55:AL55 AN55:AO55 AR55:BA55">
    <cfRule type="containsText" dxfId="3985" priority="631" operator="containsText" text="PENDIENTE">
      <formula>NOT(ISERROR(SEARCH("PENDIENTE",#REF!)))</formula>
    </cfRule>
  </conditionalFormatting>
  <conditionalFormatting sqref="T56 A56 BC56 V56:X56 AD56:AG56 BH56:XFD56 AI56:AL56 AN56:AO56 AR56:BA56">
    <cfRule type="containsText" dxfId="3984" priority="7000" operator="containsText" text="PENDIENTE">
      <formula>NOT(ISERROR(SEARCH("PENDIENTE",#REF!)))</formula>
    </cfRule>
  </conditionalFormatting>
  <conditionalFormatting sqref="T56 V56:X56 AD56:AG56 AI56:AL56 AN56:AO56 AR56:BA56 BC56 BH56:XFD56 A56">
    <cfRule type="containsText" dxfId="3983" priority="7001" operator="containsText" text="PENDIENTE">
      <formula>NOT(ISERROR(SEARCH("PENDIENTE",A56)))</formula>
    </cfRule>
  </conditionalFormatting>
  <conditionalFormatting sqref="T58 V58:X58 AD58:AG58 AI58:AL58 AN58:AO58 AR58:BA58 BC58 BH58:XFD58 A58 A62">
    <cfRule type="containsText" dxfId="3982" priority="9080" operator="containsText" text="PENDIENTE">
      <formula>NOT(ISERROR(SEARCH("PENDIENTE",A58)))</formula>
    </cfRule>
  </conditionalFormatting>
  <conditionalFormatting sqref="T58 V58:X58 AD58:AG58 AI58:AL58 AN58:AO58 AR58:BA58 BC58 BH58:XFD58">
    <cfRule type="containsText" dxfId="3981" priority="9078" operator="containsText" text="ENTREGADO">
      <formula>NOT(ISERROR(SEARCH("ENTREGADO",T58)))</formula>
    </cfRule>
  </conditionalFormatting>
  <conditionalFormatting sqref="T58 V58:X58 AD58:AG58 BC58 BH58:XFD58 A58 AI58:AL58 AN58:AO58 AR58:BA58 A62">
    <cfRule type="containsText" dxfId="3980" priority="9079" operator="containsText" text="PENDIENTE">
      <formula>NOT(ISERROR(SEARCH("PENDIENTE",#REF!)))</formula>
    </cfRule>
  </conditionalFormatting>
  <conditionalFormatting sqref="T58 V58:X58 AD58:AG58 BC58 BH58:XFD58 AI58:AL58 AN58:AO58 AR58:BA58">
    <cfRule type="containsText" dxfId="3979" priority="9066" operator="containsText" text="ENTREGADO">
      <formula>NOT(ISERROR(SEARCH("ENTREGADO",#REF!)))</formula>
    </cfRule>
  </conditionalFormatting>
  <conditionalFormatting sqref="T59 V59:X59 AD59:AG59 AI59:AL59 AN59:AO59 AR59:BA59 BC59 BH59:XFD59 A59">
    <cfRule type="containsText" dxfId="3978" priority="3534" operator="containsText" text="PENDIENTE">
      <formula>NOT(ISERROR(SEARCH("PENDIENTE",A59)))</formula>
    </cfRule>
  </conditionalFormatting>
  <conditionalFormatting sqref="T59 V59:X59 AD59:AG59 AI59:AL59 AN59:AO59 AR59:BA59 BC59 BH59:XFD59">
    <cfRule type="containsText" dxfId="3977" priority="3532" operator="containsText" text="ENTREGADO">
      <formula>NOT(ISERROR(SEARCH("ENTREGADO",T59)))</formula>
    </cfRule>
  </conditionalFormatting>
  <conditionalFormatting sqref="T59 V59:X59 AD59:AG59 BC59 BH59:XFD59 A59 AI59:AL59 AN59:AO59 AR59:BA59">
    <cfRule type="containsText" dxfId="3976" priority="3533" operator="containsText" text="PENDIENTE">
      <formula>NOT(ISERROR(SEARCH("PENDIENTE",#REF!)))</formula>
    </cfRule>
  </conditionalFormatting>
  <conditionalFormatting sqref="T59 V59:X59 AD59:AG59 BC59 BH59:XFD59 AI59:AL59 AN59:AO59 AR59:BA59">
    <cfRule type="containsText" dxfId="3975" priority="3527" operator="containsText" text="ENTREGADO">
      <formula>NOT(ISERROR(SEARCH("ENTREGADO",#REF!)))</formula>
    </cfRule>
  </conditionalFormatting>
  <conditionalFormatting sqref="T59:T61">
    <cfRule type="containsText" dxfId="3974" priority="3493" operator="containsText" text="PRIORIDAD">
      <formula>NOT(ISERROR(SEARCH("PRIORIDAD",T59)))</formula>
    </cfRule>
  </conditionalFormatting>
  <conditionalFormatting sqref="T60 V60:X60 AD60:AG60 AI60:AL60 AN60:AO60 AR60:BA60 BC60 BH60:XFD60 A60">
    <cfRule type="containsText" dxfId="3973" priority="4701" operator="containsText" text="PENDIENTE">
      <formula>NOT(ISERROR(SEARCH("PENDIENTE",A60)))</formula>
    </cfRule>
  </conditionalFormatting>
  <conditionalFormatting sqref="T60 V60:X60 AD60:AG60 AI60:AL60 AN60:AO60 AR60:BA60 BC60 BH60:XFD60">
    <cfRule type="containsText" dxfId="3972" priority="4699" operator="containsText" text="ENTREGADO">
      <formula>NOT(ISERROR(SEARCH("ENTREGADO",T60)))</formula>
    </cfRule>
  </conditionalFormatting>
  <conditionalFormatting sqref="T60 V60:X60 AD60:AG60 BC60 BH60:XFD60 A60 AI60:AL60 AN60:AO60 AR60:BA60">
    <cfRule type="containsText" dxfId="3971" priority="4700" operator="containsText" text="PENDIENTE">
      <formula>NOT(ISERROR(SEARCH("PENDIENTE",#REF!)))</formula>
    </cfRule>
  </conditionalFormatting>
  <conditionalFormatting sqref="T60 V60:X60 AD60:AG60 BC60 BH60:XFD60 AI60:AL60 AN60:AO60 AR60:BA60">
    <cfRule type="containsText" dxfId="3970" priority="4694" operator="containsText" text="ENTREGADO">
      <formula>NOT(ISERROR(SEARCH("ENTREGADO",#REF!)))</formula>
    </cfRule>
  </conditionalFormatting>
  <conditionalFormatting sqref="T61 V61:X61 AD61:AG61 AI61:AL61 AN61:AO61 AR61:BA61 BC61 BH61:XFD61 A61">
    <cfRule type="containsText" dxfId="3969" priority="4562" operator="containsText" text="PENDIENTE">
      <formula>NOT(ISERROR(SEARCH("PENDIENTE",A61)))</formula>
    </cfRule>
  </conditionalFormatting>
  <conditionalFormatting sqref="T61 V61:X61 AD61:AG61 AI61:AL61 AN61:AO61 AR61:BA61 BC61 BH61:XFD61">
    <cfRule type="containsText" dxfId="3968" priority="4560" operator="containsText" text="ENTREGADO">
      <formula>NOT(ISERROR(SEARCH("ENTREGADO",T61)))</formula>
    </cfRule>
  </conditionalFormatting>
  <conditionalFormatting sqref="T61 V61:X61 AD61:AG61 BC61 BH61:XFD61 A61 AI61:AL61 AN61:AO61 AR61:BA61">
    <cfRule type="containsText" dxfId="3967" priority="4561" operator="containsText" text="PENDIENTE">
      <formula>NOT(ISERROR(SEARCH("PENDIENTE",#REF!)))</formula>
    </cfRule>
  </conditionalFormatting>
  <conditionalFormatting sqref="T61 V61:X61 AD61:AG61 BC61 BH61:XFD61 AI61:AL61 AN61:AO61 AR61:BA61">
    <cfRule type="containsText" dxfId="3966" priority="4555" operator="containsText" text="ENTREGADO">
      <formula>NOT(ISERROR(SEARCH("ENTREGADO",#REF!)))</formula>
    </cfRule>
  </conditionalFormatting>
  <conditionalFormatting sqref="T71 V71:X71">
    <cfRule type="containsText" dxfId="3965" priority="9797" operator="containsText" text="PENDIENTE">
      <formula>NOT(ISERROR(SEARCH("PENDIENTE",T71)))</formula>
    </cfRule>
    <cfRule type="containsText" dxfId="3964" priority="9794" operator="containsText" text="ENTREGADO">
      <formula>NOT(ISERROR(SEARCH("ENTREGADO",#REF!)))</formula>
    </cfRule>
    <cfRule type="containsText" dxfId="3963" priority="9795" operator="containsText" text="ENTREGADO">
      <formula>NOT(ISERROR(SEARCH("ENTREGADO",T71)))</formula>
    </cfRule>
    <cfRule type="containsText" dxfId="3962" priority="9798" operator="containsText" text="ENTREGADO">
      <formula>NOT(ISERROR(SEARCH("ENTREGADO",T71)))</formula>
    </cfRule>
    <cfRule type="containsText" dxfId="3961" priority="9796" operator="containsText" text="PENDIENTE">
      <formula>NOT(ISERROR(SEARCH("PENDIENTE",#REF!)))</formula>
    </cfRule>
  </conditionalFormatting>
  <conditionalFormatting sqref="T72 V72:X72">
    <cfRule type="containsText" dxfId="3960" priority="6711" operator="containsText" text="ENTREGADO">
      <formula>NOT(ISERROR(SEARCH("ENTREGADO",T72)))</formula>
    </cfRule>
    <cfRule type="containsText" dxfId="3959" priority="6712" operator="containsText" text="PENDIENTE">
      <formula>NOT(ISERROR(SEARCH("PENDIENTE",#REF!)))</formula>
    </cfRule>
    <cfRule type="containsText" dxfId="3958" priority="6713" operator="containsText" text="PENDIENTE">
      <formula>NOT(ISERROR(SEARCH("PENDIENTE",T72)))</formula>
    </cfRule>
    <cfRule type="containsText" dxfId="3957" priority="6710" operator="containsText" text="ENTREGADO">
      <formula>NOT(ISERROR(SEARCH("ENTREGADO",#REF!)))</formula>
    </cfRule>
    <cfRule type="containsText" dxfId="3956" priority="6714" operator="containsText" text="ENTREGADO">
      <formula>NOT(ISERROR(SEARCH("ENTREGADO",T72)))</formula>
    </cfRule>
  </conditionalFormatting>
  <conditionalFormatting sqref="T73 V73:X73">
    <cfRule type="containsText" dxfId="3955" priority="6584" operator="containsText" text="ENTREGADO">
      <formula>NOT(ISERROR(SEARCH("ENTREGADO",T73)))</formula>
    </cfRule>
    <cfRule type="containsText" dxfId="3954" priority="6583" operator="containsText" text="ENTREGADO">
      <formula>NOT(ISERROR(SEARCH("ENTREGADO",#REF!)))</formula>
    </cfRule>
    <cfRule type="containsText" dxfId="3953" priority="6587" operator="containsText" text="ENTREGADO">
      <formula>NOT(ISERROR(SEARCH("ENTREGADO",T73)))</formula>
    </cfRule>
    <cfRule type="containsText" dxfId="3952" priority="6586" operator="containsText" text="PENDIENTE">
      <formula>NOT(ISERROR(SEARCH("PENDIENTE",T73)))</formula>
    </cfRule>
    <cfRule type="containsText" dxfId="3951" priority="6585" operator="containsText" text="PENDIENTE">
      <formula>NOT(ISERROR(SEARCH("PENDIENTE",#REF!)))</formula>
    </cfRule>
  </conditionalFormatting>
  <conditionalFormatting sqref="T74 V74:X74">
    <cfRule type="containsText" dxfId="3950" priority="6457" operator="containsText" text="PENDIENTE">
      <formula>NOT(ISERROR(SEARCH("PENDIENTE",#REF!)))</formula>
    </cfRule>
    <cfRule type="containsText" dxfId="3949" priority="6459" operator="containsText" text="ENTREGADO">
      <formula>NOT(ISERROR(SEARCH("ENTREGADO",T74)))</formula>
    </cfRule>
    <cfRule type="containsText" dxfId="3948" priority="6458" operator="containsText" text="PENDIENTE">
      <formula>NOT(ISERROR(SEARCH("PENDIENTE",T74)))</formula>
    </cfRule>
    <cfRule type="containsText" dxfId="3947" priority="6456" operator="containsText" text="ENTREGADO">
      <formula>NOT(ISERROR(SEARCH("ENTREGADO",T74)))</formula>
    </cfRule>
    <cfRule type="containsText" dxfId="3946" priority="6455" operator="containsText" text="ENTREGADO">
      <formula>NOT(ISERROR(SEARCH("ENTREGADO",#REF!)))</formula>
    </cfRule>
  </conditionalFormatting>
  <conditionalFormatting sqref="T75 V75:X75 AD75:AG75 AI75:AL75 AN75:AO75 AR75:BA75 BC75 BH75:XFD75 A75">
    <cfRule type="containsText" dxfId="3945" priority="4840" operator="containsText" text="PENDIENTE">
      <formula>NOT(ISERROR(SEARCH("PENDIENTE",A75)))</formula>
    </cfRule>
  </conditionalFormatting>
  <conditionalFormatting sqref="T75 V75:X75 AD75:AG75 AI75:AL75 AN75:AO75 AR75:BA75 BC75 BH75:XFD75">
    <cfRule type="containsText" dxfId="3944" priority="4838" operator="containsText" text="ENTREGADO">
      <formula>NOT(ISERROR(SEARCH("ENTREGADO",T75)))</formula>
    </cfRule>
  </conditionalFormatting>
  <conditionalFormatting sqref="T75 V75:X75 AD75:AG75 BC75 BH75:XFD75 A75 AI75:AL75 AN75:AO75 AR75:BA75">
    <cfRule type="containsText" dxfId="3943" priority="4839" operator="containsText" text="PENDIENTE">
      <formula>NOT(ISERROR(SEARCH("PENDIENTE",#REF!)))</formula>
    </cfRule>
  </conditionalFormatting>
  <conditionalFormatting sqref="T75 V75:X75 AD75:AG75 BC75 BH75:XFD75 AI75:AL75 AN75:AO75 AR75:BA75">
    <cfRule type="containsText" dxfId="3942" priority="4833" operator="containsText" text="ENTREGADO">
      <formula>NOT(ISERROR(SEARCH("ENTREGADO",#REF!)))</formula>
    </cfRule>
  </conditionalFormatting>
  <conditionalFormatting sqref="T76 V76:X76 AD76:AG76 AI76:AL76 AN76:AO76 AR76:BA76 BC76 BH76:XFD76 A76 A80:A81 BH80:XFD81 BC80:BC81 AR80:BA81 AN80:AO81 AI80:AL81 AD81 V80:X81 T80:T81 T83:T84 V83:X84 AD83:AD84 AI83:AL84 AN83:AO84 AR83:BA84 BC83:BC84 BH83:XFD84 AG83:AG84 AG80:AG81 A83:A84">
    <cfRule type="containsText" dxfId="3941" priority="2949" operator="containsText" text="PENDIENTE">
      <formula>NOT(ISERROR(SEARCH("PENDIENTE",A76)))</formula>
    </cfRule>
  </conditionalFormatting>
  <conditionalFormatting sqref="T76 V76:X76 AD76:AG76 AI76:AL76 AN76:AO76 AR76:BA76 BC76 BH76:XFD76 BH80:XFD81 BC80:BC81 AR80:BA81 AN80:AO81 AI80:AL81 AD81 V80:X81 T80:T81 T83:T84 V83:X84 AD83:AD84 AI83:AL84 AN83:AO84 AR83:BA84 BC83:BC84 BH83:XFD84 AG83:AG84 AG80:AG81">
    <cfRule type="containsText" dxfId="3940" priority="2947" operator="containsText" text="ENTREGADO">
      <formula>NOT(ISERROR(SEARCH("ENTREGADO",T76)))</formula>
    </cfRule>
  </conditionalFormatting>
  <conditionalFormatting sqref="T76 V76:X76 AD76:AG76 BC76 BH76:XFD76 A76 AI76:AL76 AN76:AO76 AR76:BA76 AR80:BA81 AN80:AO81 AI80:AL81 A80:A81 BH80:XFD81 BC80:BC81 AD81 V80:X81 T80:T81 T83:T84 V83:X84 AD83:AD84 BC83:BC84 BH83:XFD84 AI83:AL84 AN83:AO84 AR83:BA84 AG83:AG84 AG80:AG81 A83:A84">
    <cfRule type="containsText" dxfId="3939" priority="2948" operator="containsText" text="PENDIENTE">
      <formula>NOT(ISERROR(SEARCH("PENDIENTE",#REF!)))</formula>
    </cfRule>
  </conditionalFormatting>
  <conditionalFormatting sqref="T76 V76:X76 AD76:AG76 BC76 BH76:XFD76 AI76:AL76 AN76:AO76 AR76:BA76 AR80:BA81 AN80:AO81 AI80:AL81 BH80:XFD81 BC80:BC81 AD81 V80:X81 T80:T81 T83:T84 V83:X84 AD83:AD84 BC83:BC84 BH83:XFD84 AI83:AL84 AN83:AO84 AR83:BA84 AG83:AG84 AG80:AG81">
    <cfRule type="containsText" dxfId="3938" priority="2942" operator="containsText" text="ENTREGADO">
      <formula>NOT(ISERROR(SEARCH("ENTREGADO",#REF!)))</formula>
    </cfRule>
  </conditionalFormatting>
  <conditionalFormatting sqref="T77">
    <cfRule type="containsText" dxfId="3937" priority="2129" operator="containsText" text="ENTREGADO">
      <formula>NOT(ISERROR(SEARCH("ENTREGADO",T77)))</formula>
    </cfRule>
  </conditionalFormatting>
  <conditionalFormatting sqref="T78 V78:X78 AD78:AG78 AI78:AL78 AN78:AO78 AR78:BA78 BC78 BH78:XFD78 A78">
    <cfRule type="containsText" dxfId="3936" priority="1650" operator="containsText" text="PENDIENTE">
      <formula>NOT(ISERROR(SEARCH("PENDIENTE",A78)))</formula>
    </cfRule>
  </conditionalFormatting>
  <conditionalFormatting sqref="T78 V78:X78 AD78:AG78 AI78:AL78 AN78:AO78 AR78:BA78 BC78 BH78:XFD78">
    <cfRule type="containsText" dxfId="3935" priority="1648" operator="containsText" text="ENTREGADO">
      <formula>NOT(ISERROR(SEARCH("ENTREGADO",T78)))</formula>
    </cfRule>
  </conditionalFormatting>
  <conditionalFormatting sqref="T78 V78:X78 AD78:AG78 BC78 BH78:XFD78 A78 AI78:AL78 AN78:AO78 AR78:BA78">
    <cfRule type="containsText" dxfId="3934" priority="1649" operator="containsText" text="PENDIENTE">
      <formula>NOT(ISERROR(SEARCH("PENDIENTE",#REF!)))</formula>
    </cfRule>
  </conditionalFormatting>
  <conditionalFormatting sqref="T78 V78:X78 AD78:AG78 BC78 BH78:XFD78 AI78:AL78 AN78:AO78 AR78:BA78">
    <cfRule type="containsText" dxfId="3933" priority="1643" operator="containsText" text="ENTREGADO">
      <formula>NOT(ISERROR(SEARCH("ENTREGADO",#REF!)))</formula>
    </cfRule>
  </conditionalFormatting>
  <conditionalFormatting sqref="T78 V78:X78 AD78:AL78">
    <cfRule type="containsText" dxfId="3932" priority="1673" operator="containsText" text="PRIORIDAD">
      <formula>NOT(ISERROR(SEARCH("PRIORIDAD",T78)))</formula>
    </cfRule>
  </conditionalFormatting>
  <conditionalFormatting sqref="T85 V85:X85 AD85 AI85:AL85 AN85:AO85 AR85:BA85 BC85 BH85:XFD85 A85 AG85">
    <cfRule type="containsText" dxfId="3931" priority="2691" operator="containsText" text="PENDIENTE">
      <formula>NOT(ISERROR(SEARCH("PENDIENTE",A85)))</formula>
    </cfRule>
  </conditionalFormatting>
  <conditionalFormatting sqref="T85 V85:X85 AD85 AI85:AL85 AN85:AO85 AR85:BA85 BC85 BH85:XFD85 AG85">
    <cfRule type="containsText" dxfId="3930" priority="2689" operator="containsText" text="ENTREGADO">
      <formula>NOT(ISERROR(SEARCH("ENTREGADO",T85)))</formula>
    </cfRule>
  </conditionalFormatting>
  <conditionalFormatting sqref="T85 V85:X85 AD85 BC85 BH85:XFD85 A85 AI85:AL85 AN85:AO85 AR85:BA85 AG85">
    <cfRule type="containsText" dxfId="3929" priority="2690" operator="containsText" text="PENDIENTE">
      <formula>NOT(ISERROR(SEARCH("PENDIENTE",#REF!)))</formula>
    </cfRule>
  </conditionalFormatting>
  <conditionalFormatting sqref="T85 V85:X85 AD85 BC85 BH85:XFD85 AI85:AL85 AN85:AO85 AR85:BA85 AG85">
    <cfRule type="containsText" dxfId="3928" priority="2684" operator="containsText" text="ENTREGADO">
      <formula>NOT(ISERROR(SEARCH("ENTREGADO",#REF!)))</formula>
    </cfRule>
  </conditionalFormatting>
  <conditionalFormatting sqref="T86 V86:X86 AD86 AI86:AL86 AN86:AO86 AR86:BA86 BC86 BH86:XFD86 A86 AG86">
    <cfRule type="containsText" dxfId="3927" priority="2536" operator="containsText" text="PENDIENTE">
      <formula>NOT(ISERROR(SEARCH("PENDIENTE",A86)))</formula>
    </cfRule>
  </conditionalFormatting>
  <conditionalFormatting sqref="T86 V86:X86 AD86 AI86:AL86 AN86:AO86 AR86:BA86 BC86 BH86:XFD86 AG86">
    <cfRule type="containsText" dxfId="3926" priority="2534" operator="containsText" text="ENTREGADO">
      <formula>NOT(ISERROR(SEARCH("ENTREGADO",T86)))</formula>
    </cfRule>
  </conditionalFormatting>
  <conditionalFormatting sqref="T86 V86:X86 AD86 BC86 BH86:XFD86 A86 AI86:AL86 AN86:AO86 AR86:BA86 AG86">
    <cfRule type="containsText" dxfId="3925" priority="2535" operator="containsText" text="PENDIENTE">
      <formula>NOT(ISERROR(SEARCH("PENDIENTE",#REF!)))</formula>
    </cfRule>
  </conditionalFormatting>
  <conditionalFormatting sqref="T86 V86:X86 AD86 BC86 BH86:XFD86 AI86:AL86 AN86:AO86 AR86:BA86 AG86">
    <cfRule type="containsText" dxfId="3924" priority="2529" operator="containsText" text="ENTREGADO">
      <formula>NOT(ISERROR(SEARCH("ENTREGADO",#REF!)))</formula>
    </cfRule>
  </conditionalFormatting>
  <conditionalFormatting sqref="T87 V87:X87 AD87 AI87:AL87 AN87:AO87 AR87:BA87 BC87 BH87:XFD87 A87 AG87">
    <cfRule type="containsText" dxfId="3923" priority="2407" operator="containsText" text="PENDIENTE">
      <formula>NOT(ISERROR(SEARCH("PENDIENTE",A87)))</formula>
    </cfRule>
  </conditionalFormatting>
  <conditionalFormatting sqref="T87 V87:X87 AD87 AI87:AL87 AN87:AO87 AR87:BA87 BC87 BH87:XFD87 AG87">
    <cfRule type="containsText" dxfId="3922" priority="2405" operator="containsText" text="ENTREGADO">
      <formula>NOT(ISERROR(SEARCH("ENTREGADO",T87)))</formula>
    </cfRule>
  </conditionalFormatting>
  <conditionalFormatting sqref="T87 V87:X87 AD87 BC87 BH87:XFD87 A87 AI87:AL87 AN87:AO87 AR87:BA87 AG87">
    <cfRule type="containsText" dxfId="3921" priority="2406" operator="containsText" text="PENDIENTE">
      <formula>NOT(ISERROR(SEARCH("PENDIENTE",#REF!)))</formula>
    </cfRule>
  </conditionalFormatting>
  <conditionalFormatting sqref="T87 V87:X87 AD87 BC87 BH87:XFD87 AI87:AL87 AN87:AO87 AR87:BA87 AG87">
    <cfRule type="containsText" dxfId="3920" priority="2400" operator="containsText" text="ENTREGADO">
      <formula>NOT(ISERROR(SEARCH("ENTREGADO",#REF!)))</formula>
    </cfRule>
  </conditionalFormatting>
  <conditionalFormatting sqref="T88 V88:X88 AD88 AI88:AL88 AN88:AO88 AR88:BA88 BC88 BH88:XFD88 A88 AG88">
    <cfRule type="containsText" dxfId="3919" priority="2278" operator="containsText" text="PENDIENTE">
      <formula>NOT(ISERROR(SEARCH("PENDIENTE",A88)))</formula>
    </cfRule>
  </conditionalFormatting>
  <conditionalFormatting sqref="T88 V88:X88 AD88 AI88:AL88 AN88:AO88 AR88:BA88 BC88 BH88:XFD88 AG88">
    <cfRule type="containsText" dxfId="3918" priority="2276" operator="containsText" text="ENTREGADO">
      <formula>NOT(ISERROR(SEARCH("ENTREGADO",T88)))</formula>
    </cfRule>
  </conditionalFormatting>
  <conditionalFormatting sqref="T88 V88:X88 AD88 BC88 BH88:XFD88 A88 AI88:AL88 AN88:AO88 AR88:BA88 AG88">
    <cfRule type="containsText" dxfId="3917" priority="2277" operator="containsText" text="PENDIENTE">
      <formula>NOT(ISERROR(SEARCH("PENDIENTE",#REF!)))</formula>
    </cfRule>
  </conditionalFormatting>
  <conditionalFormatting sqref="T88 V88:X88 AD88 BC88 BH88:XFD88 AI88:AL88 AN88:AO88 AR88:BA88 AG88">
    <cfRule type="containsText" dxfId="3916" priority="2271" operator="containsText" text="ENTREGADO">
      <formula>NOT(ISERROR(SEARCH("ENTREGADO",#REF!)))</formula>
    </cfRule>
  </conditionalFormatting>
  <conditionalFormatting sqref="T89 V89:X89 AD89 AI89:AL89 AN89:AO89 AR89:BA89 BC89 BH89:XFD89 A89 AG89">
    <cfRule type="containsText" dxfId="3915" priority="1897" operator="containsText" text="PENDIENTE">
      <formula>NOT(ISERROR(SEARCH("PENDIENTE",A89)))</formula>
    </cfRule>
  </conditionalFormatting>
  <conditionalFormatting sqref="T89 V89:X89 AD89 AI89:AL89 AN89:AO89 AR89:BA89 BC89 BH89:XFD89 AG89">
    <cfRule type="containsText" dxfId="3914" priority="1895" operator="containsText" text="ENTREGADO">
      <formula>NOT(ISERROR(SEARCH("ENTREGADO",T89)))</formula>
    </cfRule>
  </conditionalFormatting>
  <conditionalFormatting sqref="T89 V89:X89 AD89 BC89 BH89:XFD89 A89 AI89:AL89 AN89:AO89 AR89:BA89 AG89">
    <cfRule type="containsText" dxfId="3913" priority="1896" operator="containsText" text="PENDIENTE">
      <formula>NOT(ISERROR(SEARCH("PENDIENTE",#REF!)))</formula>
    </cfRule>
  </conditionalFormatting>
  <conditionalFormatting sqref="T89 V89:X89 AD89 BC89 BH89:XFD89 AI89:AL89 AN89:AO89 AR89:BA89 AG89">
    <cfRule type="containsText" dxfId="3912" priority="1890" operator="containsText" text="ENTREGADO">
      <formula>NOT(ISERROR(SEARCH("ENTREGADO",#REF!)))</formula>
    </cfRule>
  </conditionalFormatting>
  <conditionalFormatting sqref="T90 V90:X90 AD90 AI90:AL90 AN90:AO90 AR90:BA90 BC90 BH90:XFD90 A90 AG90">
    <cfRule type="containsText" dxfId="3911" priority="1222" operator="containsText" text="PENDIENTE">
      <formula>NOT(ISERROR(SEARCH("PENDIENTE",A90)))</formula>
    </cfRule>
  </conditionalFormatting>
  <conditionalFormatting sqref="T90 V90:X90 AD90 AI90:AL90 AN90:AO90 AR90:BA90 BC90 BH90:XFD90 AG90">
    <cfRule type="containsText" dxfId="3910" priority="1220" operator="containsText" text="ENTREGADO">
      <formula>NOT(ISERROR(SEARCH("ENTREGADO",T90)))</formula>
    </cfRule>
  </conditionalFormatting>
  <conditionalFormatting sqref="T90 V90:X90 AD90 BC90 BH90:XFD90 A90 AI90:AL90 AN90:AO90 AR90:BA90 AG90">
    <cfRule type="containsText" dxfId="3909" priority="1221" operator="containsText" text="PENDIENTE">
      <formula>NOT(ISERROR(SEARCH("PENDIENTE",#REF!)))</formula>
    </cfRule>
  </conditionalFormatting>
  <conditionalFormatting sqref="T90 V90:X90 AD90 BC90 BH90:XFD90 AI90:AL90 AN90:AO90 AR90:BA90 AG90">
    <cfRule type="containsText" dxfId="3908" priority="1215" operator="containsText" text="ENTREGADO">
      <formula>NOT(ISERROR(SEARCH("ENTREGADO",#REF!)))</formula>
    </cfRule>
  </conditionalFormatting>
  <conditionalFormatting sqref="T91 V91:X91 AD91 AI91:AL91 AN91:AO91 AR91:BA91 BC91 BH91:XFD91 A91 AG91">
    <cfRule type="containsText" dxfId="3907" priority="1042" operator="containsText" text="PENDIENTE">
      <formula>NOT(ISERROR(SEARCH("PENDIENTE",A91)))</formula>
    </cfRule>
  </conditionalFormatting>
  <conditionalFormatting sqref="T91 V91:X91 AD91 AI91:AL91 AN91:AO91 AR91:BA91 BC91 BH91:XFD91 AG91">
    <cfRule type="containsText" dxfId="3906" priority="1040" operator="containsText" text="ENTREGADO">
      <formula>NOT(ISERROR(SEARCH("ENTREGADO",T91)))</formula>
    </cfRule>
  </conditionalFormatting>
  <conditionalFormatting sqref="T91 V91:X91 AD91 BC91 BH91:XFD91 A91 AI91:AL91 AN91:AO91 AR91:BA91 AG91">
    <cfRule type="containsText" dxfId="3905" priority="1041" operator="containsText" text="PENDIENTE">
      <formula>NOT(ISERROR(SEARCH("PENDIENTE",#REF!)))</formula>
    </cfRule>
  </conditionalFormatting>
  <conditionalFormatting sqref="T91 V91:X91 AD91 BC91 BH91:XFD91 AI91:AL91 AN91:AO91 AR91:BA91 AG91">
    <cfRule type="containsText" dxfId="3904" priority="1035" operator="containsText" text="ENTREGADO">
      <formula>NOT(ISERROR(SEARCH("ENTREGADO",#REF!)))</formula>
    </cfRule>
  </conditionalFormatting>
  <conditionalFormatting sqref="T92 V92:X92 AD92 AI92:AL92 AN92:AO92 AR92:BA92 BC92 BH92:XFD92 A92 AG92">
    <cfRule type="containsText" dxfId="3903" priority="901" operator="containsText" text="PENDIENTE">
      <formula>NOT(ISERROR(SEARCH("PENDIENTE",A92)))</formula>
    </cfRule>
  </conditionalFormatting>
  <conditionalFormatting sqref="T92 V92:X92 AD92 AI92:AL92 AN92:AO92 AR92:BA92 BC92 BH92:XFD92 AG92">
    <cfRule type="containsText" dxfId="3902" priority="899" operator="containsText" text="ENTREGADO">
      <formula>NOT(ISERROR(SEARCH("ENTREGADO",T92)))</formula>
    </cfRule>
  </conditionalFormatting>
  <conditionalFormatting sqref="T92 V92:X92 AD92 BC92 BH92:XFD92 A92 AI92:AL92 AN92:AO92 AR92:BA92 AG92">
    <cfRule type="containsText" dxfId="3901" priority="900" operator="containsText" text="PENDIENTE">
      <formula>NOT(ISERROR(SEARCH("PENDIENTE",#REF!)))</formula>
    </cfRule>
  </conditionalFormatting>
  <conditionalFormatting sqref="T92 V92:X92 AD92 BC92 BH92:XFD92 AI92:AL92 AN92:AO92 AR92:BA92 AG92">
    <cfRule type="containsText" dxfId="3900" priority="894" operator="containsText" text="ENTREGADO">
      <formula>NOT(ISERROR(SEARCH("ENTREGADO",#REF!)))</formula>
    </cfRule>
  </conditionalFormatting>
  <conditionalFormatting sqref="T28:U28">
    <cfRule type="containsText" dxfId="3899" priority="22908" operator="containsText" text="ENTREGADO">
      <formula>NOT(ISERROR(SEARCH("ENTREGADO",T28)))</formula>
    </cfRule>
    <cfRule type="containsText" dxfId="3898" priority="22904" operator="containsText" text="ENTREGADO">
      <formula>NOT(ISERROR(SEARCH("ENTREGADO",#REF!)))</formula>
    </cfRule>
    <cfRule type="containsText" dxfId="3897" priority="22905" operator="containsText" text="ENTREGADO">
      <formula>NOT(ISERROR(SEARCH("ENTREGADO",T28)))</formula>
    </cfRule>
    <cfRule type="containsText" dxfId="3896" priority="22906" operator="containsText" text="PENDIENTE">
      <formula>NOT(ISERROR(SEARCH("PENDIENTE",#REF!)))</formula>
    </cfRule>
    <cfRule type="containsText" dxfId="3895" priority="22907" operator="containsText" text="PENDIENTE">
      <formula>NOT(ISERROR(SEARCH("PENDIENTE",T28)))</formula>
    </cfRule>
  </conditionalFormatting>
  <conditionalFormatting sqref="T29:U29">
    <cfRule type="containsText" dxfId="3894" priority="20608" operator="containsText" text="ENTREGADO">
      <formula>NOT(ISERROR(SEARCH("ENTREGADO",#REF!)))</formula>
    </cfRule>
    <cfRule type="containsText" dxfId="3893" priority="20611" operator="containsText" text="PENDIENTE">
      <formula>NOT(ISERROR(SEARCH("PENDIENTE",T29)))</formula>
    </cfRule>
    <cfRule type="containsText" dxfId="3892" priority="20612" operator="containsText" text="ENTREGADO">
      <formula>NOT(ISERROR(SEARCH("ENTREGADO",T29)))</formula>
    </cfRule>
    <cfRule type="containsText" dxfId="3891" priority="20609" operator="containsText" text="ENTREGADO">
      <formula>NOT(ISERROR(SEARCH("ENTREGADO",T29)))</formula>
    </cfRule>
    <cfRule type="containsText" dxfId="3890" priority="20610" operator="containsText" text="PENDIENTE">
      <formula>NOT(ISERROR(SEARCH("PENDIENTE",#REF!)))</formula>
    </cfRule>
  </conditionalFormatting>
  <conditionalFormatting sqref="T31:U31">
    <cfRule type="containsText" dxfId="3889" priority="5054" operator="containsText" text="PRIORIDAD">
      <formula>NOT(ISERROR(SEARCH("PRIORIDAD",T31)))</formula>
    </cfRule>
  </conditionalFormatting>
  <conditionalFormatting sqref="T32:U32">
    <cfRule type="containsText" dxfId="3888" priority="19904" operator="containsText" text="ENTREGADO">
      <formula>NOT(ISERROR(SEARCH("ENTREGADO",#REF!)))</formula>
    </cfRule>
    <cfRule type="containsText" dxfId="3887" priority="19905" operator="containsText" text="ENTREGADO">
      <formula>NOT(ISERROR(SEARCH("ENTREGADO",T32)))</formula>
    </cfRule>
    <cfRule type="containsText" dxfId="3886" priority="19907" operator="containsText" text="PENDIENTE">
      <formula>NOT(ISERROR(SEARCH("PENDIENTE",T32)))</formula>
    </cfRule>
    <cfRule type="containsText" dxfId="3885" priority="19908" operator="containsText" text="ENTREGADO">
      <formula>NOT(ISERROR(SEARCH("ENTREGADO",T32)))</formula>
    </cfRule>
    <cfRule type="containsText" dxfId="3884" priority="19906" operator="containsText" text="PENDIENTE">
      <formula>NOT(ISERROR(SEARCH("PENDIENTE",#REF!)))</formula>
    </cfRule>
  </conditionalFormatting>
  <conditionalFormatting sqref="T34:U34">
    <cfRule type="containsText" dxfId="3883" priority="20256" operator="containsText" text="ENTREGADO">
      <formula>NOT(ISERROR(SEARCH("ENTREGADO",#REF!)))</formula>
    </cfRule>
    <cfRule type="containsText" dxfId="3882" priority="20257" operator="containsText" text="ENTREGADO">
      <formula>NOT(ISERROR(SEARCH("ENTREGADO",T34)))</formula>
    </cfRule>
    <cfRule type="containsText" dxfId="3881" priority="20258" operator="containsText" text="PENDIENTE">
      <formula>NOT(ISERROR(SEARCH("PENDIENTE",#REF!)))</formula>
    </cfRule>
    <cfRule type="containsText" dxfId="3880" priority="20260" operator="containsText" text="ENTREGADO">
      <formula>NOT(ISERROR(SEARCH("ENTREGADO",T34)))</formula>
    </cfRule>
    <cfRule type="containsText" dxfId="3879" priority="20259" operator="containsText" text="PENDIENTE">
      <formula>NOT(ISERROR(SEARCH("PENDIENTE",T34)))</formula>
    </cfRule>
  </conditionalFormatting>
  <conditionalFormatting sqref="T35:U35">
    <cfRule type="containsText" dxfId="3878" priority="17253" operator="containsText" text="ENTREGADO">
      <formula>NOT(ISERROR(SEARCH("ENTREGADO",T35)))</formula>
    </cfRule>
    <cfRule type="containsText" dxfId="3877" priority="17252" operator="containsText" text="PRIORIDAD">
      <formula>NOT(ISERROR(SEARCH("PRIORIDAD",T35)))</formula>
    </cfRule>
  </conditionalFormatting>
  <conditionalFormatting sqref="T36:U36">
    <cfRule type="containsText" dxfId="3876" priority="17132" operator="containsText" text="PRIORIDAD">
      <formula>NOT(ISERROR(SEARCH("PRIORIDAD",T36)))</formula>
    </cfRule>
  </conditionalFormatting>
  <conditionalFormatting sqref="T37:U37">
    <cfRule type="containsText" dxfId="3875" priority="15705" operator="containsText" text="PRIORIDAD">
      <formula>NOT(ISERROR(SEARCH("PRIORIDAD",T37)))</formula>
    </cfRule>
  </conditionalFormatting>
  <conditionalFormatting sqref="T38:U38">
    <cfRule type="containsText" dxfId="3874" priority="15582" operator="containsText" text="PRIORIDAD">
      <formula>NOT(ISERROR(SEARCH("PRIORIDAD",T38)))</formula>
    </cfRule>
  </conditionalFormatting>
  <conditionalFormatting sqref="T40:U40">
    <cfRule type="containsText" dxfId="3873" priority="7266" operator="containsText" text="ENTREGADO">
      <formula>NOT(ISERROR(SEARCH("ENTREGADO",T40)))</formula>
    </cfRule>
    <cfRule type="containsText" dxfId="3872" priority="7265" operator="containsText" text="PENDIENTE">
      <formula>NOT(ISERROR(SEARCH("PENDIENTE",T40)))</formula>
    </cfRule>
    <cfRule type="containsText" dxfId="3871" priority="7264" operator="containsText" text="PENDIENTE">
      <formula>NOT(ISERROR(SEARCH("PENDIENTE",#REF!)))</formula>
    </cfRule>
    <cfRule type="containsText" dxfId="3870" priority="7263" operator="containsText" text="ENTREGADO">
      <formula>NOT(ISERROR(SEARCH("ENTREGADO",T40)))</formula>
    </cfRule>
    <cfRule type="containsText" dxfId="3869" priority="7262" operator="containsText" text="ENTREGADO">
      <formula>NOT(ISERROR(SEARCH("ENTREGADO",#REF!)))</formula>
    </cfRule>
  </conditionalFormatting>
  <conditionalFormatting sqref="T41:U41">
    <cfRule type="containsText" dxfId="3868" priority="3883" operator="containsText" text="PENDIENTE">
      <formula>NOT(ISERROR(SEARCH("PENDIENTE",T41)))</formula>
    </cfRule>
    <cfRule type="containsText" dxfId="3867" priority="3880" operator="containsText" text="ENTREGADO">
      <formula>NOT(ISERROR(SEARCH("ENTREGADO",#REF!)))</formula>
    </cfRule>
    <cfRule type="containsText" dxfId="3866" priority="3881" operator="containsText" text="ENTREGADO">
      <formula>NOT(ISERROR(SEARCH("ENTREGADO",T41)))</formula>
    </cfRule>
    <cfRule type="containsText" dxfId="3865" priority="3882" operator="containsText" text="PENDIENTE">
      <formula>NOT(ISERROR(SEARCH("PENDIENTE",#REF!)))</formula>
    </cfRule>
    <cfRule type="containsText" dxfId="3864" priority="3884" operator="containsText" text="ENTREGADO">
      <formula>NOT(ISERROR(SEARCH("ENTREGADO",T41)))</formula>
    </cfRule>
  </conditionalFormatting>
  <conditionalFormatting sqref="T42:U44">
    <cfRule type="containsText" dxfId="3863" priority="12805" operator="containsText" text="ENTREGADO">
      <formula>NOT(ISERROR(SEARCH("ENTREGADO",T42)))</formula>
    </cfRule>
    <cfRule type="containsText" dxfId="3862" priority="12804" operator="containsText" text="PRIORIDAD">
      <formula>NOT(ISERROR(SEARCH("PRIORIDAD",T42)))</formula>
    </cfRule>
  </conditionalFormatting>
  <conditionalFormatting sqref="T45:U45">
    <cfRule type="containsText" dxfId="3861" priority="11638" operator="containsText" text="PRIORIDAD">
      <formula>NOT(ISERROR(SEARCH("PRIORIDAD",T45)))</formula>
    </cfRule>
  </conditionalFormatting>
  <conditionalFormatting sqref="T46:U49">
    <cfRule type="containsText" dxfId="3860" priority="4394" operator="containsText" text="PRIORIDAD">
      <formula>NOT(ISERROR(SEARCH("PRIORIDAD",T46)))</formula>
    </cfRule>
  </conditionalFormatting>
  <conditionalFormatting sqref="T52:U53">
    <cfRule type="containsText" dxfId="3859" priority="11071" operator="containsText" text="ENTREGADO">
      <formula>NOT(ISERROR(SEARCH("ENTREGADO",#REF!)))</formula>
    </cfRule>
  </conditionalFormatting>
  <conditionalFormatting sqref="T55:U55">
    <cfRule type="containsText" dxfId="3858" priority="617" operator="containsText" text="ENTREGADO">
      <formula>NOT(ISERROR(SEARCH("ENTREGADO",#REF!)))</formula>
    </cfRule>
  </conditionalFormatting>
  <conditionalFormatting sqref="T56:U56">
    <cfRule type="containsText" dxfId="3857" priority="6971" operator="containsText" text="ENTREGADO">
      <formula>NOT(ISERROR(SEARCH("ENTREGADO",T56)))</formula>
    </cfRule>
    <cfRule type="containsText" dxfId="3856" priority="6973" operator="containsText" text="ENTREGADO">
      <formula>NOT(ISERROR(SEARCH("ENTREGADO",#REF!)))</formula>
    </cfRule>
  </conditionalFormatting>
  <conditionalFormatting sqref="T71:U74">
    <cfRule type="containsText" dxfId="3855" priority="6428" operator="containsText" text="ENTREGADO">
      <formula>NOT(ISERROR(SEARCH("ENTREGADO",T71)))</formula>
    </cfRule>
  </conditionalFormatting>
  <conditionalFormatting sqref="T77:U77">
    <cfRule type="containsText" dxfId="3854" priority="2133" operator="containsText" text="PENDIENTE">
      <formula>NOT(ISERROR(SEARCH("PENDIENTE",T77)))</formula>
    </cfRule>
    <cfRule type="containsText" dxfId="3853" priority="2134" operator="containsText" text="ENTREGADO">
      <formula>NOT(ISERROR(SEARCH("ENTREGADO",T77)))</formula>
    </cfRule>
    <cfRule type="containsText" dxfId="3852" priority="2130" operator="containsText" text="ENTREGADO">
      <formula>NOT(ISERROR(SEARCH("ENTREGADO",#REF!)))</formula>
    </cfRule>
    <cfRule type="containsText" dxfId="3851" priority="2131" operator="containsText" text="ENTREGADO">
      <formula>NOT(ISERROR(SEARCH("ENTREGADO",T77)))</formula>
    </cfRule>
    <cfRule type="containsText" dxfId="3850" priority="2132" operator="containsText" text="PENDIENTE">
      <formula>NOT(ISERROR(SEARCH("PENDIENTE",#REF!)))</formula>
    </cfRule>
  </conditionalFormatting>
  <conditionalFormatting sqref="T3:W3">
    <cfRule type="containsText" dxfId="3849" priority="21156" operator="containsText" text="ENTREGADO">
      <formula>NOT(ISERROR(SEARCH("ENTREGADO",T3)))</formula>
    </cfRule>
  </conditionalFormatting>
  <conditionalFormatting sqref="T33:W33 Y33:Z33">
    <cfRule type="containsText" dxfId="3848" priority="5925" operator="containsText" text="ENTREGADO">
      <formula>NOT(ISERROR(SEARCH("ENTREGADO",T33)))</formula>
    </cfRule>
  </conditionalFormatting>
  <conditionalFormatting sqref="T5:X5 BH4:XFD5">
    <cfRule type="containsText" dxfId="3847" priority="15897" operator="containsText" text="ENTREGADO">
      <formula>NOT(ISERROR(SEARCH("ENTREGADO",T4)))</formula>
    </cfRule>
  </conditionalFormatting>
  <conditionalFormatting sqref="T5:X5 BH5:XFD5 G5:I5 E5">
    <cfRule type="containsText" dxfId="3846" priority="15898" operator="containsText" text="ENTREGADO">
      <formula>NOT(ISERROR(SEARCH("ENTREGADO",#REF!)))</formula>
    </cfRule>
  </conditionalFormatting>
  <conditionalFormatting sqref="T6:X6 C7 A19 T19 AX19:BC19 T7 AX7:BC7 BH19:XFD19 BH6:XFD7 G19:H19 G6:I6 E6:E7 G7:H7">
    <cfRule type="containsText" dxfId="3845" priority="14450" operator="containsText" text="ENTREGADO">
      <formula>NOT(ISERROR(SEARCH("ENTREGADO",#REF!)))</formula>
    </cfRule>
  </conditionalFormatting>
  <conditionalFormatting sqref="T6:X6 G6:I6 A19 C7 AX19:BC19 G19:H19 T19 AX7:BC7 T7 BH19:XFD19 BH6:XFD7 G7:H7">
    <cfRule type="containsText" dxfId="3844" priority="14457" operator="containsText" text="PENDIENTE">
      <formula>NOT(ISERROR(SEARCH("PENDIENTE",#REF!)))</formula>
    </cfRule>
  </conditionalFormatting>
  <conditionalFormatting sqref="T7:X7">
    <cfRule type="containsText" dxfId="3843" priority="13584" operator="containsText" text="ENTREGADO">
      <formula>NOT(ISERROR(SEARCH("ENTREGADO",T7)))</formula>
    </cfRule>
  </conditionalFormatting>
  <conditionalFormatting sqref="T8:X8 BH8:XFD8">
    <cfRule type="containsText" dxfId="3842" priority="13642" operator="containsText" text="ENTREGADO">
      <formula>NOT(ISERROR(SEARCH("ENTREGADO",T8)))</formula>
    </cfRule>
    <cfRule type="containsText" dxfId="3841" priority="13643" operator="containsText" text="ENTREGADO">
      <formula>NOT(ISERROR(SEARCH("ENTREGADO",#REF!)))</formula>
    </cfRule>
  </conditionalFormatting>
  <conditionalFormatting sqref="T9:X9 G9 A9 K9 BH9:XFD9 M9:N9">
    <cfRule type="containsText" dxfId="3840" priority="9567" operator="containsText" text="PENDIENTE">
      <formula>NOT(ISERROR(SEARCH("PENDIENTE",#REF!)))</formula>
    </cfRule>
  </conditionalFormatting>
  <conditionalFormatting sqref="T9:X9 BD9:XFD9 K9:K17 M9:N17">
    <cfRule type="containsText" dxfId="3839" priority="9560" operator="containsText" text="ENTREGADO">
      <formula>NOT(ISERROR(SEARCH("ENTREGADO",#REF!)))</formula>
    </cfRule>
  </conditionalFormatting>
  <conditionalFormatting sqref="T9:X10 BH10:XFD10">
    <cfRule type="containsText" dxfId="3838" priority="8195" operator="containsText" text="ENTREGADO">
      <formula>NOT(ISERROR(SEARCH("ENTREGADO",T9)))</formula>
    </cfRule>
  </conditionalFormatting>
  <conditionalFormatting sqref="T10:X10 G10 A10 BH10:XFD10">
    <cfRule type="containsText" dxfId="3837" priority="8203" operator="containsText" text="PENDIENTE">
      <formula>NOT(ISERROR(SEARCH("PENDIENTE",#REF!)))</formula>
    </cfRule>
  </conditionalFormatting>
  <conditionalFormatting sqref="T10:X10 BH10:XFD10">
    <cfRule type="containsText" dxfId="3836" priority="8196" operator="containsText" text="ENTREGADO">
      <formula>NOT(ISERROR(SEARCH("ENTREGADO",#REF!)))</formula>
    </cfRule>
  </conditionalFormatting>
  <conditionalFormatting sqref="T11:X11 G11 A11 BH11:XFD11">
    <cfRule type="containsText" dxfId="3835" priority="8114" operator="containsText" text="PENDIENTE">
      <formula>NOT(ISERROR(SEARCH("PENDIENTE",#REF!)))</formula>
    </cfRule>
  </conditionalFormatting>
  <conditionalFormatting sqref="T11:X11 BH11:XFD11 G9:G11 A9:A18">
    <cfRule type="containsText" dxfId="3834" priority="8107" operator="containsText" text="ENTREGADO">
      <formula>NOT(ISERROR(SEARCH("ENTREGADO",#REF!)))</formula>
    </cfRule>
  </conditionalFormatting>
  <conditionalFormatting sqref="T12:X12 BH12:XFD12">
    <cfRule type="containsText" dxfId="3833" priority="8818" operator="containsText" text="ENTREGADO">
      <formula>NOT(ISERROR(SEARCH("ENTREGADO",T12)))</formula>
    </cfRule>
    <cfRule type="containsText" dxfId="3832" priority="8819" operator="containsText" text="ENTREGADO">
      <formula>NOT(ISERROR(SEARCH("ENTREGADO",#REF!)))</formula>
    </cfRule>
  </conditionalFormatting>
  <conditionalFormatting sqref="T13:X13 G13 A13 BH13:XFD13">
    <cfRule type="containsText" dxfId="3831" priority="8737" operator="containsText" text="PENDIENTE">
      <formula>NOT(ISERROR(SEARCH("PENDIENTE",#REF!)))</formula>
    </cfRule>
  </conditionalFormatting>
  <conditionalFormatting sqref="T13:X13 BD13:XFD13">
    <cfRule type="containsText" dxfId="3830" priority="8730" operator="containsText" text="ENTREGADO">
      <formula>NOT(ISERROR(SEARCH("ENTREGADO",#REF!)))</formula>
    </cfRule>
  </conditionalFormatting>
  <conditionalFormatting sqref="T13:X14 BH14:XFD14">
    <cfRule type="containsText" dxfId="3829" priority="8640" operator="containsText" text="ENTREGADO">
      <formula>NOT(ISERROR(SEARCH("ENTREGADO",T13)))</formula>
    </cfRule>
  </conditionalFormatting>
  <conditionalFormatting sqref="T14:X14 BH14:XFD14">
    <cfRule type="containsText" dxfId="3828" priority="8641" operator="containsText" text="ENTREGADO">
      <formula>NOT(ISERROR(SEARCH("ENTREGADO",#REF!)))</formula>
    </cfRule>
  </conditionalFormatting>
  <conditionalFormatting sqref="T15:X15 G15 A15 BH15:XFD15">
    <cfRule type="containsText" dxfId="3827" priority="8559" operator="containsText" text="PENDIENTE">
      <formula>NOT(ISERROR(SEARCH("PENDIENTE",#REF!)))</formula>
    </cfRule>
  </conditionalFormatting>
  <conditionalFormatting sqref="T15:X15 BH15:XFD15">
    <cfRule type="containsText" dxfId="3826" priority="8552" operator="containsText" text="ENTREGADO">
      <formula>NOT(ISERROR(SEARCH("ENTREGADO",#REF!)))</formula>
    </cfRule>
  </conditionalFormatting>
  <conditionalFormatting sqref="T15:X16 BH16:XFD16">
    <cfRule type="containsText" dxfId="3825" priority="8462" operator="containsText" text="ENTREGADO">
      <formula>NOT(ISERROR(SEARCH("ENTREGADO",T15)))</formula>
    </cfRule>
  </conditionalFormatting>
  <conditionalFormatting sqref="T16:X16 G16 A16 BH16:XFD16">
    <cfRule type="containsText" dxfId="3824" priority="8470" operator="containsText" text="PENDIENTE">
      <formula>NOT(ISERROR(SEARCH("PENDIENTE",#REF!)))</formula>
    </cfRule>
  </conditionalFormatting>
  <conditionalFormatting sqref="T16:X16 BH16:XFD16">
    <cfRule type="containsText" dxfId="3823" priority="8463" operator="containsText" text="ENTREGADO">
      <formula>NOT(ISERROR(SEARCH("ENTREGADO",#REF!)))</formula>
    </cfRule>
  </conditionalFormatting>
  <conditionalFormatting sqref="T17:X17 G17 A17 BH17:XFD17">
    <cfRule type="containsText" dxfId="3822" priority="8381" operator="containsText" text="PENDIENTE">
      <formula>NOT(ISERROR(SEARCH("PENDIENTE",#REF!)))</formula>
    </cfRule>
  </conditionalFormatting>
  <conditionalFormatting sqref="T17:X17 BH17:XFD17">
    <cfRule type="containsText" dxfId="3821" priority="8374" operator="containsText" text="ENTREGADO">
      <formula>NOT(ISERROR(SEARCH("ENTREGADO",#REF!)))</formula>
    </cfRule>
  </conditionalFormatting>
  <conditionalFormatting sqref="T20:X20">
    <cfRule type="containsText" dxfId="3820" priority="13520" operator="containsText" text="ENTREGADO">
      <formula>NOT(ISERROR(SEARCH("ENTREGADO",T20)))</formula>
    </cfRule>
  </conditionalFormatting>
  <conditionalFormatting sqref="T21:X21">
    <cfRule type="containsText" dxfId="3819" priority="12670" operator="containsText" text="ENTREGADO">
      <formula>NOT(ISERROR(SEARCH("ENTREGADO",T21)))</formula>
    </cfRule>
  </conditionalFormatting>
  <conditionalFormatting sqref="T22:X22">
    <cfRule type="containsText" dxfId="3818" priority="10744" operator="containsText" text="ENTREGADO">
      <formula>NOT(ISERROR(SEARCH("ENTREGADO",T22)))</formula>
    </cfRule>
  </conditionalFormatting>
  <conditionalFormatting sqref="T23:X23">
    <cfRule type="containsText" dxfId="3817" priority="6891" operator="containsText" text="ENTREGADO">
      <formula>NOT(ISERROR(SEARCH("ENTREGADO",T23)))</formula>
    </cfRule>
  </conditionalFormatting>
  <conditionalFormatting sqref="T25:X25 AD25:AG25 AI25:AL25 AN25:AO25 AR25:BG25">
    <cfRule type="containsText" dxfId="3816" priority="6376" operator="containsText" text="ENTREGADO">
      <formula>NOT(ISERROR(SEARCH("ENTREGADO",T25)))</formula>
    </cfRule>
  </conditionalFormatting>
  <conditionalFormatting sqref="T26:X26 AD25:AG26 AI25:AL26 AN25:AO27 AR26:BG26">
    <cfRule type="containsText" dxfId="3815" priority="6337" operator="containsText" text="ENTREGADO">
      <formula>NOT(ISERROR(SEARCH("ENTREGADO",T25)))</formula>
    </cfRule>
  </conditionalFormatting>
  <conditionalFormatting sqref="T28:X28">
    <cfRule type="containsText" dxfId="3814" priority="22920" operator="containsText" text="ENTREGADO">
      <formula>NOT(ISERROR(SEARCH("ENTREGADO",#REF!)))</formula>
    </cfRule>
    <cfRule type="containsText" dxfId="3813" priority="22917" operator="containsText" text="PENDIENTE">
      <formula>NOT(ISERROR(SEARCH("PENDIENTE",#REF!)))</formula>
    </cfRule>
    <cfRule type="containsText" dxfId="3812" priority="22916" operator="containsText" text="ENTREGADO">
      <formula>NOT(ISERROR(SEARCH("ENTREGADO",T28)))</formula>
    </cfRule>
    <cfRule type="containsText" dxfId="3811" priority="22915" operator="containsText" text="ENTREGADO">
      <formula>NOT(ISERROR(SEARCH("ENTREGADO",#REF!)))</formula>
    </cfRule>
    <cfRule type="containsText" dxfId="3810" priority="22892" operator="containsText" text="PENDIENTE">
      <formula>NOT(ISERROR(SEARCH("PENDIENTE",#REF!)))</formula>
    </cfRule>
    <cfRule type="containsText" dxfId="3809" priority="22893" operator="containsText" text="ENTREGADO">
      <formula>NOT(ISERROR(SEARCH("ENTREGADO",T28)))</formula>
    </cfRule>
    <cfRule type="containsText" dxfId="3808" priority="22891" operator="containsText" text="PENDIENTE">
      <formula>NOT(ISERROR(SEARCH("PENDIENTE",T28)))</formula>
    </cfRule>
    <cfRule type="containsText" dxfId="3807" priority="22896" operator="containsText" text="PRIORIDAD">
      <formula>NOT(ISERROR(SEARCH("PRIORIDAD",T28)))</formula>
    </cfRule>
    <cfRule type="containsText" dxfId="3806" priority="22890" operator="containsText" text="ENTREGADO">
      <formula>NOT(ISERROR(SEARCH("ENTREGADO",T28)))</formula>
    </cfRule>
  </conditionalFormatting>
  <conditionalFormatting sqref="T29:X29 BC29 BH29:XFD29">
    <cfRule type="containsText" dxfId="3805" priority="20624" operator="containsText" text="ENTREGADO">
      <formula>NOT(ISERROR(SEARCH("ENTREGADO",#REF!)))</formula>
    </cfRule>
    <cfRule type="containsText" dxfId="3804" priority="20632" operator="containsText" text="ENTREGADO">
      <formula>NOT(ISERROR(SEARCH("ENTREGADO",T29)))</formula>
    </cfRule>
    <cfRule type="containsText" dxfId="3803" priority="20635" operator="containsText" text="ENTREGADO">
      <formula>NOT(ISERROR(SEARCH("ENTREGADO",T29)))</formula>
    </cfRule>
    <cfRule type="containsText" dxfId="3802" priority="20637" operator="containsText" text="ENTREGADO">
      <formula>NOT(ISERROR(SEARCH("ENTREGADO",#REF!)))</formula>
    </cfRule>
    <cfRule type="containsText" dxfId="3801" priority="20633" operator="containsText" text="PENDIENTE">
      <formula>NOT(ISERROR(SEARCH("PENDIENTE",#REF!)))</formula>
    </cfRule>
  </conditionalFormatting>
  <conditionalFormatting sqref="T29:X29 BH29:XFD29 BC29 P29">
    <cfRule type="containsText" dxfId="3800" priority="20597" operator="containsText" text="ENTREGADO">
      <formula>NOT(ISERROR(SEARCH("ENTREGADO",P29)))</formula>
    </cfRule>
  </conditionalFormatting>
  <conditionalFormatting sqref="T29:X29 BH29:XFD29 BC29">
    <cfRule type="containsText" dxfId="3799" priority="20591" operator="containsText" text="PENDIENTE">
      <formula>NOT(ISERROR(SEARCH("PENDIENTE",T29)))</formula>
    </cfRule>
  </conditionalFormatting>
  <conditionalFormatting sqref="T29:X29 BH29:XFD29">
    <cfRule type="containsText" dxfId="3798" priority="20595" operator="containsText" text="PENDIENTE">
      <formula>NOT(ISERROR(SEARCH("PENDIENTE",#REF!)))</formula>
    </cfRule>
    <cfRule type="containsText" dxfId="3797" priority="20590" operator="containsText" text="ENTREGADO">
      <formula>NOT(ISERROR(SEARCH("ENTREGADO",T29)))</formula>
    </cfRule>
  </conditionalFormatting>
  <conditionalFormatting sqref="T32:X32 BB32:BC32 BH32:XFD32">
    <cfRule type="containsText" dxfId="3796" priority="19929" operator="containsText" text="PENDIENTE">
      <formula>NOT(ISERROR(SEARCH("PENDIENTE",#REF!)))</formula>
    </cfRule>
  </conditionalFormatting>
  <conditionalFormatting sqref="T32:X32 BC32 BH32:XFD32 P32 G32:H32 J32:N32">
    <cfRule type="containsText" dxfId="3795" priority="19893" operator="containsText" text="ENTREGADO">
      <formula>NOT(ISERROR(SEARCH("ENTREGADO",G32)))</formula>
    </cfRule>
  </conditionalFormatting>
  <conditionalFormatting sqref="T32:X32 BC32 BH32:XFD32">
    <cfRule type="containsText" dxfId="3794" priority="19931" operator="containsText" text="ENTREGADO">
      <formula>NOT(ISERROR(SEARCH("ENTREGADO",T32)))</formula>
    </cfRule>
    <cfRule type="containsText" dxfId="3793" priority="19930" operator="containsText" text="PENDIENTE">
      <formula>NOT(ISERROR(SEARCH("PENDIENTE",T32)))</formula>
    </cfRule>
    <cfRule type="containsText" dxfId="3792" priority="19928" operator="containsText" text="ENTREGADO">
      <formula>NOT(ISERROR(SEARCH("ENTREGADO",T32)))</formula>
    </cfRule>
    <cfRule type="containsText" dxfId="3791" priority="19920" operator="containsText" text="ENTREGADO">
      <formula>NOT(ISERROR(SEARCH("ENTREGADO",#REF!)))</formula>
    </cfRule>
    <cfRule type="containsText" dxfId="3790" priority="19933" operator="containsText" text="ENTREGADO">
      <formula>NOT(ISERROR(SEARCH("ENTREGADO",#REF!)))</formula>
    </cfRule>
  </conditionalFormatting>
  <conditionalFormatting sqref="T32:X32 BH32:XFD32 BC32">
    <cfRule type="containsText" dxfId="3789" priority="19887" operator="containsText" text="PENDIENTE">
      <formula>NOT(ISERROR(SEARCH("PENDIENTE",T32)))</formula>
    </cfRule>
  </conditionalFormatting>
  <conditionalFormatting sqref="T32:X32 BH32:XFD32">
    <cfRule type="containsText" dxfId="3788" priority="19891" operator="containsText" text="PENDIENTE">
      <formula>NOT(ISERROR(SEARCH("PENDIENTE",#REF!)))</formula>
    </cfRule>
    <cfRule type="containsText" dxfId="3787" priority="19886" operator="containsText" text="ENTREGADO">
      <formula>NOT(ISERROR(SEARCH("ENTREGADO",T32)))</formula>
    </cfRule>
  </conditionalFormatting>
  <conditionalFormatting sqref="T34:X34 BB34:BC34 BH34:XFD34">
    <cfRule type="containsText" dxfId="3786" priority="20281" operator="containsText" text="PENDIENTE">
      <formula>NOT(ISERROR(SEARCH("PENDIENTE",#REF!)))</formula>
    </cfRule>
  </conditionalFormatting>
  <conditionalFormatting sqref="T34:X34 BC34 BH34:XFD34">
    <cfRule type="containsText" dxfId="3785" priority="20272" operator="containsText" text="ENTREGADO">
      <formula>NOT(ISERROR(SEARCH("ENTREGADO",#REF!)))</formula>
    </cfRule>
    <cfRule type="containsText" dxfId="3784" priority="20280" operator="containsText" text="ENTREGADO">
      <formula>NOT(ISERROR(SEARCH("ENTREGADO",T34)))</formula>
    </cfRule>
    <cfRule type="containsText" dxfId="3783" priority="20282" operator="containsText" text="PENDIENTE">
      <formula>NOT(ISERROR(SEARCH("PENDIENTE",T34)))</formula>
    </cfRule>
    <cfRule type="containsText" dxfId="3782" priority="20283" operator="containsText" text="ENTREGADO">
      <formula>NOT(ISERROR(SEARCH("ENTREGADO",T34)))</formula>
    </cfRule>
    <cfRule type="containsText" dxfId="3781" priority="20285" operator="containsText" text="ENTREGADO">
      <formula>NOT(ISERROR(SEARCH("ENTREGADO",#REF!)))</formula>
    </cfRule>
  </conditionalFormatting>
  <conditionalFormatting sqref="T34:X34 BH34:XFD34 BC34 P34">
    <cfRule type="containsText" dxfId="3780" priority="20245" operator="containsText" text="ENTREGADO">
      <formula>NOT(ISERROR(SEARCH("ENTREGADO",P34)))</formula>
    </cfRule>
  </conditionalFormatting>
  <conditionalFormatting sqref="T34:X34 BH34:XFD34 BC34">
    <cfRule type="containsText" dxfId="3779" priority="20239" operator="containsText" text="PENDIENTE">
      <formula>NOT(ISERROR(SEARCH("PENDIENTE",T34)))</formula>
    </cfRule>
  </conditionalFormatting>
  <conditionalFormatting sqref="T34:X34 BH34:XFD34">
    <cfRule type="containsText" dxfId="3778" priority="20238" operator="containsText" text="ENTREGADO">
      <formula>NOT(ISERROR(SEARCH("ENTREGADO",T34)))</formula>
    </cfRule>
    <cfRule type="containsText" dxfId="3777" priority="20243" operator="containsText" text="PENDIENTE">
      <formula>NOT(ISERROR(SEARCH("PENDIENTE",#REF!)))</formula>
    </cfRule>
  </conditionalFormatting>
  <conditionalFormatting sqref="T40:X40 BC40 BH40:XFD40 P40 G40:H40 J40:N40">
    <cfRule type="containsText" dxfId="3776" priority="7251" operator="containsText" text="ENTREGADO">
      <formula>NOT(ISERROR(SEARCH("ENTREGADO",G40)))</formula>
    </cfRule>
  </conditionalFormatting>
  <conditionalFormatting sqref="T40:X40 BC40 BH40:XFD40 AD40:AG40 AI40:AL40 AN40:AO40 AR40:BA40">
    <cfRule type="containsText" dxfId="3775" priority="7250" operator="containsText" text="PENDIENTE">
      <formula>NOT(ISERROR(SEARCH("PENDIENTE",#REF!)))</formula>
    </cfRule>
  </conditionalFormatting>
  <conditionalFormatting sqref="T40:X40 BC40 BH40:XFD40">
    <cfRule type="containsText" dxfId="3774" priority="7283" operator="containsText" text="PENDIENTE">
      <formula>NOT(ISERROR(SEARCH("PENDIENTE",#REF!)))</formula>
    </cfRule>
    <cfRule type="containsText" dxfId="3773" priority="7284" operator="containsText" text="PENDIENTE">
      <formula>NOT(ISERROR(SEARCH("PENDIENTE",T40)))</formula>
    </cfRule>
    <cfRule type="containsText" dxfId="3772" priority="7287" operator="containsText" text="ENTREGADO">
      <formula>NOT(ISERROR(SEARCH("ENTREGADO",#REF!)))</formula>
    </cfRule>
    <cfRule type="containsText" dxfId="3771" priority="7276" operator="containsText" text="ENTREGADO">
      <formula>NOT(ISERROR(SEARCH("ENTREGADO",#REF!)))</formula>
    </cfRule>
    <cfRule type="containsText" dxfId="3770" priority="7282" operator="containsText" text="ENTREGADO">
      <formula>NOT(ISERROR(SEARCH("ENTREGADO",T40)))</formula>
    </cfRule>
  </conditionalFormatting>
  <conditionalFormatting sqref="T40:X40 BH40:XFD40 BC40">
    <cfRule type="containsText" dxfId="3769" priority="7248" operator="containsText" text="PENDIENTE">
      <formula>NOT(ISERROR(SEARCH("PENDIENTE",T40)))</formula>
    </cfRule>
  </conditionalFormatting>
  <conditionalFormatting sqref="T41:X41 BB41:BC41 BH41:XFD41">
    <cfRule type="containsText" dxfId="3768" priority="3897" operator="containsText" text="PENDIENTE">
      <formula>NOT(ISERROR(SEARCH("PENDIENTE",#REF!)))</formula>
    </cfRule>
  </conditionalFormatting>
  <conditionalFormatting sqref="T41:X41 BC41 BH41:XFD41">
    <cfRule type="containsText" dxfId="3767" priority="3898" operator="containsText" text="PENDIENTE">
      <formula>NOT(ISERROR(SEARCH("PENDIENTE",T41)))</formula>
    </cfRule>
    <cfRule type="containsText" dxfId="3766" priority="3901" operator="containsText" text="ENTREGADO">
      <formula>NOT(ISERROR(SEARCH("ENTREGADO",#REF!)))</formula>
    </cfRule>
    <cfRule type="containsText" dxfId="3765" priority="3899" operator="containsText" text="ENTREGADO">
      <formula>NOT(ISERROR(SEARCH("ENTREGADO",T41)))</formula>
    </cfRule>
    <cfRule type="containsText" dxfId="3764" priority="3896" operator="containsText" text="ENTREGADO">
      <formula>NOT(ISERROR(SEARCH("ENTREGADO",T41)))</formula>
    </cfRule>
    <cfRule type="containsText" dxfId="3763" priority="3890" operator="containsText" text="ENTREGADO">
      <formula>NOT(ISERROR(SEARCH("ENTREGADO",#REF!)))</formula>
    </cfRule>
  </conditionalFormatting>
  <conditionalFormatting sqref="T41:X41 BH41:XFD41 BC41 P41">
    <cfRule type="containsText" dxfId="3762" priority="3873" operator="containsText" text="ENTREGADO">
      <formula>NOT(ISERROR(SEARCH("ENTREGADO",P41)))</formula>
    </cfRule>
  </conditionalFormatting>
  <conditionalFormatting sqref="T41:X41 BH41:XFD41 BC41">
    <cfRule type="containsText" dxfId="3761" priority="3871" operator="containsText" text="PENDIENTE">
      <formula>NOT(ISERROR(SEARCH("PENDIENTE",T41)))</formula>
    </cfRule>
  </conditionalFormatting>
  <conditionalFormatting sqref="T41:X41 BH41:XFD41">
    <cfRule type="containsText" dxfId="3760" priority="3870" operator="containsText" text="ENTREGADO">
      <formula>NOT(ISERROR(SEARCH("ENTREGADO",T41)))</formula>
    </cfRule>
    <cfRule type="containsText" dxfId="3759" priority="3872" operator="containsText" text="PENDIENTE">
      <formula>NOT(ISERROR(SEARCH("PENDIENTE",#REF!)))</formula>
    </cfRule>
  </conditionalFormatting>
  <conditionalFormatting sqref="T41:X41">
    <cfRule type="containsText" dxfId="3758" priority="3856" operator="containsText" text="PENDIENTE">
      <formula>NOT(ISERROR(SEARCH("PENDIENTE",T41)))</formula>
    </cfRule>
  </conditionalFormatting>
  <conditionalFormatting sqref="T50:X50">
    <cfRule type="containsText" dxfId="3757" priority="9165" operator="containsText" text="PRIORIDAD">
      <formula>NOT(ISERROR(SEARCH("PRIORIDAD",T50)))</formula>
    </cfRule>
  </conditionalFormatting>
  <conditionalFormatting sqref="T52:X53">
    <cfRule type="containsText" dxfId="3756" priority="11069" operator="containsText" text="ENTREGADO">
      <formula>NOT(ISERROR(SEARCH("ENTREGADO",T52)))</formula>
    </cfRule>
  </conditionalFormatting>
  <conditionalFormatting sqref="T53:X53">
    <cfRule type="containsText" dxfId="3755" priority="234" operator="containsText" text="PRIORIDAD">
      <formula>NOT(ISERROR(SEARCH("PRIORIDAD",T53)))</formula>
    </cfRule>
  </conditionalFormatting>
  <conditionalFormatting sqref="T54:X54">
    <cfRule type="containsText" dxfId="3754" priority="7808" operator="containsText" text="PRIORIDAD">
      <formula>NOT(ISERROR(SEARCH("PRIORIDAD",T54)))</formula>
    </cfRule>
  </conditionalFormatting>
  <conditionalFormatting sqref="T55:X55">
    <cfRule type="containsText" dxfId="3753" priority="615" operator="containsText" text="ENTREGADO">
      <formula>NOT(ISERROR(SEARCH("ENTREGADO",T55)))</formula>
    </cfRule>
  </conditionalFormatting>
  <conditionalFormatting sqref="T57:X58">
    <cfRule type="containsText" dxfId="3752" priority="9036" operator="containsText" text="ENTREGADO">
      <formula>NOT(ISERROR(SEARCH("ENTREGADO",T57)))</formula>
    </cfRule>
  </conditionalFormatting>
  <conditionalFormatting sqref="T59:X59">
    <cfRule type="containsText" dxfId="3751" priority="3517" operator="containsText" text="ENTREGADO">
      <formula>NOT(ISERROR(SEARCH("ENTREGADO",T59)))</formula>
    </cfRule>
  </conditionalFormatting>
  <conditionalFormatting sqref="T60:X60">
    <cfRule type="containsText" dxfId="3750" priority="4684" operator="containsText" text="ENTREGADO">
      <formula>NOT(ISERROR(SEARCH("ENTREGADO",T60)))</formula>
    </cfRule>
  </conditionalFormatting>
  <conditionalFormatting sqref="T61:X61">
    <cfRule type="containsText" dxfId="3749" priority="4545" operator="containsText" text="ENTREGADO">
      <formula>NOT(ISERROR(SEARCH("ENTREGADO",T61)))</formula>
    </cfRule>
  </conditionalFormatting>
  <conditionalFormatting sqref="T62:X70 AR62:XFD70">
    <cfRule type="containsText" dxfId="3748" priority="5808" operator="containsText" text="PRIORIDAD">
      <formula>NOT(ISERROR(SEARCH("PRIORIDAD",T62)))</formula>
    </cfRule>
  </conditionalFormatting>
  <conditionalFormatting sqref="T70:X70 AD70:AG70 AI70:AL70 AN70:AO70 AR70:XFD70 C70:H70 J70:N70">
    <cfRule type="containsText" dxfId="3747" priority="5817" operator="containsText" text="ENTREGADO">
      <formula>NOT(ISERROR(SEARCH("ENTREGADO",C70)))</formula>
    </cfRule>
  </conditionalFormatting>
  <conditionalFormatting sqref="T75:X75">
    <cfRule type="containsText" dxfId="3746" priority="4823" operator="containsText" text="ENTREGADO">
      <formula>NOT(ISERROR(SEARCH("ENTREGADO",T75)))</formula>
    </cfRule>
  </conditionalFormatting>
  <conditionalFormatting sqref="T76:X76 T80:X81 T83:X84">
    <cfRule type="containsText" dxfId="3745" priority="2934" operator="containsText" text="ENTREGADO">
      <formula>NOT(ISERROR(SEARCH("ENTREGADO",T76)))</formula>
    </cfRule>
  </conditionalFormatting>
  <conditionalFormatting sqref="T77:X77 BB77:BC77 BH77:XFD77">
    <cfRule type="containsText" dxfId="3744" priority="2147" operator="containsText" text="PENDIENTE">
      <formula>NOT(ISERROR(SEARCH("PENDIENTE",#REF!)))</formula>
    </cfRule>
  </conditionalFormatting>
  <conditionalFormatting sqref="T77:X77 BC77 BH77:XFD77 G77:H77 J77:N77">
    <cfRule type="containsText" dxfId="3743" priority="2124" operator="containsText" text="PRIORIDAD">
      <formula>NOT(ISERROR(SEARCH("PRIORIDAD",G77)))</formula>
    </cfRule>
  </conditionalFormatting>
  <conditionalFormatting sqref="T77:X77 BC77 BH77:XFD77">
    <cfRule type="containsText" dxfId="3742" priority="2140" operator="containsText" text="ENTREGADO">
      <formula>NOT(ISERROR(SEARCH("ENTREGADO",#REF!)))</formula>
    </cfRule>
    <cfRule type="containsText" dxfId="3741" priority="2146" operator="containsText" text="ENTREGADO">
      <formula>NOT(ISERROR(SEARCH("ENTREGADO",T77)))</formula>
    </cfRule>
    <cfRule type="containsText" dxfId="3740" priority="2148" operator="containsText" text="PENDIENTE">
      <formula>NOT(ISERROR(SEARCH("PENDIENTE",T77)))</formula>
    </cfRule>
    <cfRule type="containsText" dxfId="3739" priority="2151" operator="containsText" text="ENTREGADO">
      <formula>NOT(ISERROR(SEARCH("ENTREGADO",#REF!)))</formula>
    </cfRule>
    <cfRule type="containsText" dxfId="3738" priority="2149" operator="containsText" text="ENTREGADO">
      <formula>NOT(ISERROR(SEARCH("ENTREGADO",T77)))</formula>
    </cfRule>
  </conditionalFormatting>
  <conditionalFormatting sqref="T77:X77 BH77:XFD77 BC77">
    <cfRule type="containsText" dxfId="3737" priority="2121" operator="containsText" text="PENDIENTE">
      <formula>NOT(ISERROR(SEARCH("PENDIENTE",T77)))</formula>
    </cfRule>
    <cfRule type="containsText" dxfId="3736" priority="2123" operator="containsText" text="ENTREGADO">
      <formula>NOT(ISERROR(SEARCH("ENTREGADO",T77)))</formula>
    </cfRule>
  </conditionalFormatting>
  <conditionalFormatting sqref="T77:X77 BH77:XFD77">
    <cfRule type="containsText" dxfId="3735" priority="2122" operator="containsText" text="PENDIENTE">
      <formula>NOT(ISERROR(SEARCH("PENDIENTE",#REF!)))</formula>
    </cfRule>
    <cfRule type="containsText" dxfId="3734" priority="2120" operator="containsText" text="ENTREGADO">
      <formula>NOT(ISERROR(SEARCH("ENTREGADO",T77)))</formula>
    </cfRule>
  </conditionalFormatting>
  <conditionalFormatting sqref="T77:X77">
    <cfRule type="containsText" dxfId="3733" priority="2106" operator="containsText" text="PENDIENTE">
      <formula>NOT(ISERROR(SEARCH("PENDIENTE",T77)))</formula>
    </cfRule>
  </conditionalFormatting>
  <conditionalFormatting sqref="T78:X78">
    <cfRule type="containsText" dxfId="3732" priority="1633" operator="containsText" text="ENTREGADO">
      <formula>NOT(ISERROR(SEARCH("ENTREGADO",T78)))</formula>
    </cfRule>
  </conditionalFormatting>
  <conditionalFormatting sqref="T79:X79 AR79:XFD79">
    <cfRule type="containsText" dxfId="3731" priority="1454" operator="containsText" text="PRIORIDAD">
      <formula>NOT(ISERROR(SEARCH("PRIORIDAD",T79)))</formula>
    </cfRule>
  </conditionalFormatting>
  <conditionalFormatting sqref="T82:X82">
    <cfRule type="containsText" dxfId="3730" priority="1370" operator="containsText" text="ENTREGADO">
      <formula>NOT(ISERROR(SEARCH("ENTREGADO",T82)))</formula>
    </cfRule>
  </conditionalFormatting>
  <conditionalFormatting sqref="T85:X85">
    <cfRule type="containsText" dxfId="3729" priority="2676" operator="containsText" text="ENTREGADO">
      <formula>NOT(ISERROR(SEARCH("ENTREGADO",T85)))</formula>
    </cfRule>
  </conditionalFormatting>
  <conditionalFormatting sqref="T86:X86">
    <cfRule type="containsText" dxfId="3728" priority="2521" operator="containsText" text="ENTREGADO">
      <formula>NOT(ISERROR(SEARCH("ENTREGADO",T86)))</formula>
    </cfRule>
  </conditionalFormatting>
  <conditionalFormatting sqref="T87:X87">
    <cfRule type="containsText" dxfId="3727" priority="2392" operator="containsText" text="ENTREGADO">
      <formula>NOT(ISERROR(SEARCH("ENTREGADO",T87)))</formula>
    </cfRule>
  </conditionalFormatting>
  <conditionalFormatting sqref="T88:X88">
    <cfRule type="containsText" dxfId="3726" priority="2263" operator="containsText" text="ENTREGADO">
      <formula>NOT(ISERROR(SEARCH("ENTREGADO",T88)))</formula>
    </cfRule>
  </conditionalFormatting>
  <conditionalFormatting sqref="T89:X89">
    <cfRule type="containsText" dxfId="3725" priority="1882" operator="containsText" text="ENTREGADO">
      <formula>NOT(ISERROR(SEARCH("ENTREGADO",T89)))</formula>
    </cfRule>
  </conditionalFormatting>
  <conditionalFormatting sqref="T90:X90">
    <cfRule type="containsText" dxfId="3724" priority="1207" operator="containsText" text="ENTREGADO">
      <formula>NOT(ISERROR(SEARCH("ENTREGADO",T90)))</formula>
    </cfRule>
  </conditionalFormatting>
  <conditionalFormatting sqref="T91:X91">
    <cfRule type="containsText" dxfId="3723" priority="1027" operator="containsText" text="ENTREGADO">
      <formula>NOT(ISERROR(SEARCH("ENTREGADO",T91)))</formula>
    </cfRule>
  </conditionalFormatting>
  <conditionalFormatting sqref="T92:X92">
    <cfRule type="containsText" dxfId="3722" priority="886" operator="containsText" text="ENTREGADO">
      <formula>NOT(ISERROR(SEARCH("ENTREGADO",T92)))</formula>
    </cfRule>
  </conditionalFormatting>
  <conditionalFormatting sqref="T5:Z5 AB5:AC5">
    <cfRule type="containsText" dxfId="3721" priority="15880" operator="containsText" text="ENTREGADO">
      <formula>NOT(ISERROR(SEARCH("ENTREGADO",T5)))</formula>
    </cfRule>
  </conditionalFormatting>
  <conditionalFormatting sqref="T6:Z6">
    <cfRule type="containsText" dxfId="3720" priority="14408" operator="containsText" text="ENTREGADO">
      <formula>NOT(ISERROR(SEARCH("ENTREGADO",T6)))</formula>
    </cfRule>
    <cfRule type="containsText" dxfId="3719" priority="14409" operator="containsText" text="ENTREGADO">
      <formula>NOT(ISERROR(SEARCH("ENTREGADO",T6)))</formula>
    </cfRule>
  </conditionalFormatting>
  <conditionalFormatting sqref="T8:Z8 AB8:AC8">
    <cfRule type="containsText" dxfId="3718" priority="13625" operator="containsText" text="ENTREGADO">
      <formula>NOT(ISERROR(SEARCH("ENTREGADO",T8)))</formula>
    </cfRule>
  </conditionalFormatting>
  <conditionalFormatting sqref="T28:Z28 AB28:AC28">
    <cfRule type="containsText" dxfId="3717" priority="22886" operator="containsText" text="PENDIENTE">
      <formula>NOT(ISERROR(SEARCH("PENDIENTE",T28)))</formula>
    </cfRule>
  </conditionalFormatting>
  <conditionalFormatting sqref="T29:Z29 AB29:AC29">
    <cfRule type="containsText" dxfId="3716" priority="20546" operator="containsText" text="PENDIENTE">
      <formula>NOT(ISERROR(SEARCH("PENDIENTE",T29)))</formula>
    </cfRule>
  </conditionalFormatting>
  <conditionalFormatting sqref="T32:Z32 AB32:AC32">
    <cfRule type="containsText" dxfId="3715" priority="19851" operator="containsText" text="PENDIENTE">
      <formula>NOT(ISERROR(SEARCH("PENDIENTE",T32)))</formula>
    </cfRule>
  </conditionalFormatting>
  <conditionalFormatting sqref="T34:Z34 AB34:AC34">
    <cfRule type="containsText" dxfId="3714" priority="20194" operator="containsText" text="PENDIENTE">
      <formula>NOT(ISERROR(SEARCH("PENDIENTE",T34)))</formula>
    </cfRule>
  </conditionalFormatting>
  <conditionalFormatting sqref="T40:Z40 AB40:AC40">
    <cfRule type="containsText" dxfId="3713" priority="7228" operator="containsText" text="PENDIENTE">
      <formula>NOT(ISERROR(SEARCH("PENDIENTE",T40)))</formula>
    </cfRule>
  </conditionalFormatting>
  <conditionalFormatting sqref="T1:XFD1 A1">
    <cfRule type="containsText" dxfId="3712" priority="27243" operator="containsText" text="ENTREGADO">
      <formula>NOT(ISERROR(SEARCH("ENTREGADO",#REF!)))</formula>
    </cfRule>
  </conditionalFormatting>
  <conditionalFormatting sqref="T1:XFD1">
    <cfRule type="containsText" dxfId="3711" priority="27220" operator="containsText" text="ENTREGADO">
      <formula>NOT(ISERROR(SEARCH("ENTREGADO",#REF!)))</formula>
    </cfRule>
    <cfRule type="containsText" dxfId="3710" priority="27219" operator="containsText" text="PRIORIDAD">
      <formula>NOT(ISERROR(SEARCH("PRIORIDAD",#REF!)))</formula>
    </cfRule>
  </conditionalFormatting>
  <conditionalFormatting sqref="U3 U24:X24">
    <cfRule type="containsText" dxfId="3709" priority="21153" operator="containsText" text="PENDIENTE">
      <formula>NOT(ISERROR(SEARCH("PENDIENTE",#REF!)))</formula>
    </cfRule>
    <cfRule type="containsText" dxfId="3708" priority="21152" operator="containsText" text="ENTREGADO">
      <formula>NOT(ISERROR(SEARCH("ENTREGADO",#REF!)))</formula>
    </cfRule>
    <cfRule type="containsText" dxfId="3707" priority="21154" operator="containsText" text="PENDIENTE">
      <formula>NOT(ISERROR(SEARCH("PENDIENTE",U3)))</formula>
    </cfRule>
    <cfRule type="containsText" dxfId="3706" priority="21155" operator="containsText" text="PRIORIDAD">
      <formula>NOT(ISERROR(SEARCH("PRIORIDAD",U3)))</formula>
    </cfRule>
  </conditionalFormatting>
  <conditionalFormatting sqref="U3">
    <cfRule type="containsText" dxfId="3705" priority="21151" operator="containsText" text="ENTREGADO">
      <formula>NOT(ISERROR(SEARCH("ENTREGADO",U3)))</formula>
    </cfRule>
  </conditionalFormatting>
  <conditionalFormatting sqref="U3:U4">
    <cfRule type="containsText" dxfId="3704" priority="18659" operator="containsText" text="ENTREGADO">
      <formula>NOT(ISERROR(SEARCH("ENTREGADO",U3)))</formula>
    </cfRule>
  </conditionalFormatting>
  <conditionalFormatting sqref="U4">
    <cfRule type="containsText" dxfId="3703" priority="18653" operator="containsText" text="ENTREGADO">
      <formula>NOT(ISERROR(SEARCH("ENTREGADO",U4)))</formula>
    </cfRule>
    <cfRule type="containsText" dxfId="3702" priority="18654" operator="containsText" text="ENTREGADO">
      <formula>NOT(ISERROR(SEARCH("ENTREGADO",U4)))</formula>
    </cfRule>
    <cfRule type="containsText" dxfId="3701" priority="18655" operator="containsText" text="ENTREGADO">
      <formula>NOT(ISERROR(SEARCH("ENTREGADO",#REF!)))</formula>
    </cfRule>
    <cfRule type="containsText" dxfId="3700" priority="18656" operator="containsText" text="PENDIENTE">
      <formula>NOT(ISERROR(SEARCH("PENDIENTE",#REF!)))</formula>
    </cfRule>
    <cfRule type="containsText" dxfId="3699" priority="18657" operator="containsText" text="PENDIENTE">
      <formula>NOT(ISERROR(SEARCH("PENDIENTE",U4)))</formula>
    </cfRule>
    <cfRule type="containsText" dxfId="3698" priority="18658" operator="containsText" text="PRIORIDAD">
      <formula>NOT(ISERROR(SEARCH("PRIORIDAD",U4)))</formula>
    </cfRule>
  </conditionalFormatting>
  <conditionalFormatting sqref="U27">
    <cfRule type="containsText" dxfId="3697" priority="6379" operator="containsText" text="PENDIENTE">
      <formula>NOT(ISERROR(SEARCH("PENDIENTE",U27)))</formula>
    </cfRule>
    <cfRule type="containsText" dxfId="3696" priority="6380" operator="containsText" text="ENTREGADO">
      <formula>NOT(ISERROR(SEARCH("ENTREGADO",U27)))</formula>
    </cfRule>
    <cfRule type="containsText" dxfId="3695" priority="6387" operator="containsText" text="PENDIENTE">
      <formula>NOT(ISERROR(SEARCH("PENDIENTE",#REF!)))</formula>
    </cfRule>
    <cfRule type="containsText" dxfId="3694" priority="6382" operator="containsText" text="PENDIENTE">
      <formula>NOT(ISERROR(SEARCH("PENDIENTE",#REF!)))</formula>
    </cfRule>
    <cfRule type="containsText" dxfId="3693" priority="6383" operator="containsText" text="ENTREGADO">
      <formula>NOT(ISERROR(SEARCH("ENTREGADO",U27)))</formula>
    </cfRule>
    <cfRule type="containsText" dxfId="3692" priority="6386" operator="containsText" text="ENTREGADO">
      <formula>NOT(ISERROR(SEARCH("ENTREGADO",U27)))</formula>
    </cfRule>
    <cfRule type="containsText" dxfId="3691" priority="6384" operator="containsText" text="PRIORIDAD">
      <formula>NOT(ISERROR(SEARCH("PRIORIDAD",U27)))</formula>
    </cfRule>
    <cfRule type="containsText" dxfId="3690" priority="6385" operator="containsText" text="ENTREGADO">
      <formula>NOT(ISERROR(SEARCH("ENTREGADO",#REF!)))</formula>
    </cfRule>
    <cfRule type="containsText" dxfId="3689" priority="6388" operator="containsText" text="PENDIENTE">
      <formula>NOT(ISERROR(SEARCH("PENDIENTE",U27)))</formula>
    </cfRule>
    <cfRule type="containsText" dxfId="3688" priority="6390" operator="containsText" text="ENTREGADO">
      <formula>NOT(ISERROR(SEARCH("ENTREGADO",#REF!)))</formula>
    </cfRule>
    <cfRule type="containsText" dxfId="3687" priority="6391" operator="containsText" text="ENTREGADO">
      <formula>NOT(ISERROR(SEARCH("ENTREGADO",U27)))</formula>
    </cfRule>
    <cfRule type="containsText" dxfId="3686" priority="6389" operator="containsText" text="ENTREGADO">
      <formula>NOT(ISERROR(SEARCH("ENTREGADO",U27)))</formula>
    </cfRule>
    <cfRule type="containsText" dxfId="3685" priority="6392" operator="containsText" text="PENDIENTE">
      <formula>NOT(ISERROR(SEARCH("PENDIENTE",#REF!)))</formula>
    </cfRule>
    <cfRule type="containsText" dxfId="3684" priority="6381" operator="containsText" text="PENDIENTE">
      <formula>NOT(ISERROR(SEARCH("PENDIENTE",U27)))</formula>
    </cfRule>
    <cfRule type="containsText" dxfId="3683" priority="6393" operator="containsText" text="PENDIENTE">
      <formula>NOT(ISERROR(SEARCH("PENDIENTE",U27)))</formula>
    </cfRule>
    <cfRule type="containsText" dxfId="3682" priority="6394" operator="containsText" text="ENTREGADO">
      <formula>NOT(ISERROR(SEARCH("ENTREGADO",U27)))</formula>
    </cfRule>
    <cfRule type="containsText" dxfId="3681" priority="6395" operator="containsText" text="ENTREGADO">
      <formula>NOT(ISERROR(SEARCH("ENTREGADO",#REF!)))</formula>
    </cfRule>
  </conditionalFormatting>
  <conditionalFormatting sqref="U30">
    <cfRule type="containsText" dxfId="3680" priority="5070" operator="containsText" text="ENTREGADO">
      <formula>NOT(ISERROR(SEARCH("ENTREGADO",U30)))</formula>
    </cfRule>
    <cfRule type="containsText" dxfId="3679" priority="5067" operator="containsText" text="ENTREGADO">
      <formula>NOT(ISERROR(SEARCH("ENTREGADO",U30)))</formula>
    </cfRule>
    <cfRule type="containsText" dxfId="3678" priority="5074" operator="containsText" text="PENDIENTE">
      <formula>NOT(ISERROR(SEARCH("PENDIENTE",#REF!)))</formula>
    </cfRule>
    <cfRule type="containsText" dxfId="3677" priority="5077" operator="containsText" text="ENTREGADO">
      <formula>NOT(ISERROR(SEARCH("ENTREGADO",#REF!)))</formula>
    </cfRule>
    <cfRule type="containsText" dxfId="3676" priority="5078" operator="containsText" text="ENTREGADO">
      <formula>NOT(ISERROR(SEARCH("ENTREGADO",U30)))</formula>
    </cfRule>
    <cfRule type="containsText" dxfId="3675" priority="5080" operator="containsText" text="PENDIENTE">
      <formula>NOT(ISERROR(SEARCH("PENDIENTE",U30)))</formula>
    </cfRule>
    <cfRule type="containsText" dxfId="3674" priority="5073" operator="containsText" text="ENTREGADO">
      <formula>NOT(ISERROR(SEARCH("ENTREGADO",U30)))</formula>
    </cfRule>
    <cfRule type="containsText" dxfId="3673" priority="5072" operator="containsText" text="ENTREGADO">
      <formula>NOT(ISERROR(SEARCH("ENTREGADO",#REF!)))</formula>
    </cfRule>
    <cfRule type="containsText" dxfId="3672" priority="5071" operator="containsText" text="PRIORIDAD">
      <formula>NOT(ISERROR(SEARCH("PRIORIDAD",U30)))</formula>
    </cfRule>
    <cfRule type="containsText" dxfId="3671" priority="5081" operator="containsText" text="ENTREGADO">
      <formula>NOT(ISERROR(SEARCH("ENTREGADO",U30)))</formula>
    </cfRule>
    <cfRule type="containsText" dxfId="3670" priority="5082" operator="containsText" text="ENTREGADO">
      <formula>NOT(ISERROR(SEARCH("ENTREGADO",#REF!)))</formula>
    </cfRule>
    <cfRule type="containsText" dxfId="3669" priority="5079" operator="containsText" text="PENDIENTE">
      <formula>NOT(ISERROR(SEARCH("PENDIENTE",#REF!)))</formula>
    </cfRule>
    <cfRule type="containsText" dxfId="3668" priority="5069" operator="containsText" text="PENDIENTE">
      <formula>NOT(ISERROR(SEARCH("PENDIENTE",#REF!)))</formula>
    </cfRule>
    <cfRule type="containsText" dxfId="3667" priority="5068" operator="containsText" text="PENDIENTE">
      <formula>NOT(ISERROR(SEARCH("PENDIENTE",U30)))</formula>
    </cfRule>
    <cfRule type="containsText" dxfId="3666" priority="5076" operator="containsText" text="ENTREGADO">
      <formula>NOT(ISERROR(SEARCH("ENTREGADO",U30)))</formula>
    </cfRule>
    <cfRule type="containsText" dxfId="3665" priority="5075" operator="containsText" text="PENDIENTE">
      <formula>NOT(ISERROR(SEARCH("PENDIENTE",U30)))</formula>
    </cfRule>
  </conditionalFormatting>
  <conditionalFormatting sqref="U30:U31">
    <cfRule type="containsText" dxfId="3664" priority="5063" operator="containsText" text="PENDIENTE">
      <formula>NOT(ISERROR(SEARCH("PENDIENTE",U30)))</formula>
    </cfRule>
  </conditionalFormatting>
  <conditionalFormatting sqref="U31">
    <cfRule type="containsText" dxfId="3663" priority="5064" operator="containsText" text="ENTREGADO">
      <formula>NOT(ISERROR(SEARCH("ENTREGADO",U31)))</formula>
    </cfRule>
    <cfRule type="containsText" dxfId="3662" priority="5065" operator="containsText" text="ENTREGADO">
      <formula>NOT(ISERROR(SEARCH("ENTREGADO",#REF!)))</formula>
    </cfRule>
    <cfRule type="containsText" dxfId="3661" priority="5058" operator="containsText" text="PENDIENTE">
      <formula>NOT(ISERROR(SEARCH("PENDIENTE",U31)))</formula>
    </cfRule>
    <cfRule type="containsText" dxfId="3660" priority="5062" operator="containsText" text="PENDIENTE">
      <formula>NOT(ISERROR(SEARCH("PENDIENTE",#REF!)))</formula>
    </cfRule>
    <cfRule type="containsText" dxfId="3659" priority="5061" operator="containsText" text="ENTREGADO">
      <formula>NOT(ISERROR(SEARCH("ENTREGADO",U31)))</formula>
    </cfRule>
    <cfRule type="containsText" dxfId="3658" priority="5056" operator="containsText" text="ENTREGADO">
      <formula>NOT(ISERROR(SEARCH("ENTREGADO",U31)))</formula>
    </cfRule>
    <cfRule type="containsText" dxfId="3657" priority="5059" operator="containsText" text="ENTREGADO">
      <formula>NOT(ISERROR(SEARCH("ENTREGADO",U31)))</formula>
    </cfRule>
    <cfRule type="containsText" dxfId="3656" priority="5052" operator="containsText" text="PENDIENTE">
      <formula>NOT(ISERROR(SEARCH("PENDIENTE",#REF!)))</formula>
    </cfRule>
    <cfRule type="containsText" dxfId="3655" priority="5057" operator="containsText" text="PENDIENTE">
      <formula>NOT(ISERROR(SEARCH("PENDIENTE",#REF!)))</formula>
    </cfRule>
    <cfRule type="containsText" dxfId="3654" priority="5055" operator="containsText" text="ENTREGADO">
      <formula>NOT(ISERROR(SEARCH("ENTREGADO",#REF!)))</formula>
    </cfRule>
    <cfRule type="containsText" dxfId="3653" priority="5053" operator="containsText" text="ENTREGADO">
      <formula>NOT(ISERROR(SEARCH("ENTREGADO",U31)))</formula>
    </cfRule>
    <cfRule type="containsText" dxfId="3652" priority="5060" operator="containsText" text="ENTREGADO">
      <formula>NOT(ISERROR(SEARCH("ENTREGADO",#REF!)))</formula>
    </cfRule>
    <cfRule type="containsText" dxfId="3651" priority="5051" operator="containsText" text="PENDIENTE">
      <formula>NOT(ISERROR(SEARCH("PENDIENTE",U31)))</formula>
    </cfRule>
    <cfRule type="containsText" dxfId="3650" priority="5050" operator="containsText" text="ENTREGADO">
      <formula>NOT(ISERROR(SEARCH("ENTREGADO",U31)))</formula>
    </cfRule>
    <cfRule type="containsText" dxfId="3649" priority="5049" operator="containsText" text="PENDIENTE">
      <formula>NOT(ISERROR(SEARCH("PENDIENTE",U31)))</formula>
    </cfRule>
  </conditionalFormatting>
  <conditionalFormatting sqref="U33">
    <cfRule type="containsText" dxfId="3648" priority="5922" operator="containsText" text="PENDIENTE">
      <formula>NOT(ISERROR(SEARCH("PENDIENTE",#REF!)))</formula>
    </cfRule>
    <cfRule type="containsText" dxfId="3647" priority="5920" operator="containsText" text="ENTREGADO">
      <formula>NOT(ISERROR(SEARCH("ENTREGADO",U33)))</formula>
    </cfRule>
    <cfRule type="containsText" dxfId="3646" priority="5904" operator="containsText" text="ENTREGADO">
      <formula>NOT(ISERROR(SEARCH("ENTREGADO",U33)))</formula>
    </cfRule>
    <cfRule type="containsText" dxfId="3645" priority="5924" operator="containsText" text="PRIORIDAD">
      <formula>NOT(ISERROR(SEARCH("PRIORIDAD",U33)))</formula>
    </cfRule>
    <cfRule type="containsText" dxfId="3644" priority="5923" operator="containsText" text="PENDIENTE">
      <formula>NOT(ISERROR(SEARCH("PENDIENTE",U33)))</formula>
    </cfRule>
    <cfRule type="containsText" dxfId="3643" priority="5921" operator="containsText" text="ENTREGADO">
      <formula>NOT(ISERROR(SEARCH("ENTREGADO",#REF!)))</formula>
    </cfRule>
  </conditionalFormatting>
  <conditionalFormatting sqref="U35">
    <cfRule type="containsText" dxfId="3642" priority="17250" operator="containsText" text="PENDIENTE">
      <formula>NOT(ISERROR(SEARCH("PENDIENTE",#REF!)))</formula>
    </cfRule>
    <cfRule type="containsText" dxfId="3641" priority="17249" operator="containsText" text="ENTREGADO">
      <formula>NOT(ISERROR(SEARCH("ENTREGADO",#REF!)))</formula>
    </cfRule>
    <cfRule type="containsText" dxfId="3640" priority="17248" operator="containsText" text="ENTREGADO">
      <formula>NOT(ISERROR(SEARCH("ENTREGADO",U35)))</formula>
    </cfRule>
    <cfRule type="containsText" dxfId="3639" priority="17251" operator="containsText" text="PENDIENTE">
      <formula>NOT(ISERROR(SEARCH("PENDIENTE",U35)))</formula>
    </cfRule>
  </conditionalFormatting>
  <conditionalFormatting sqref="U35:U36">
    <cfRule type="containsText" dxfId="3638" priority="17133" operator="containsText" text="ENTREGADO">
      <formula>NOT(ISERROR(SEARCH("ENTREGADO",U35)))</formula>
    </cfRule>
  </conditionalFormatting>
  <conditionalFormatting sqref="U36">
    <cfRule type="containsText" dxfId="3637" priority="17130" operator="containsText" text="PENDIENTE">
      <formula>NOT(ISERROR(SEARCH("PENDIENTE",#REF!)))</formula>
    </cfRule>
    <cfRule type="containsText" dxfId="3636" priority="17131" operator="containsText" text="PENDIENTE">
      <formula>NOT(ISERROR(SEARCH("PENDIENTE",U36)))</formula>
    </cfRule>
    <cfRule type="containsText" dxfId="3635" priority="17128" operator="containsText" text="ENTREGADO">
      <formula>NOT(ISERROR(SEARCH("ENTREGADO",U36)))</formula>
    </cfRule>
    <cfRule type="containsText" dxfId="3634" priority="17129" operator="containsText" text="ENTREGADO">
      <formula>NOT(ISERROR(SEARCH("ENTREGADO",#REF!)))</formula>
    </cfRule>
  </conditionalFormatting>
  <conditionalFormatting sqref="U36:U37">
    <cfRule type="containsText" dxfId="3633" priority="15706" operator="containsText" text="ENTREGADO">
      <formula>NOT(ISERROR(SEARCH("ENTREGADO",U36)))</formula>
    </cfRule>
  </conditionalFormatting>
  <conditionalFormatting sqref="U37">
    <cfRule type="containsText" dxfId="3632" priority="15704" operator="containsText" text="PENDIENTE">
      <formula>NOT(ISERROR(SEARCH("PENDIENTE",U37)))</formula>
    </cfRule>
    <cfRule type="containsText" dxfId="3631" priority="15703" operator="containsText" text="PENDIENTE">
      <formula>NOT(ISERROR(SEARCH("PENDIENTE",#REF!)))</formula>
    </cfRule>
    <cfRule type="containsText" dxfId="3630" priority="15701" operator="containsText" text="ENTREGADO">
      <formula>NOT(ISERROR(SEARCH("ENTREGADO",U37)))</formula>
    </cfRule>
    <cfRule type="containsText" dxfId="3629" priority="15702" operator="containsText" text="ENTREGADO">
      <formula>NOT(ISERROR(SEARCH("ENTREGADO",#REF!)))</formula>
    </cfRule>
  </conditionalFormatting>
  <conditionalFormatting sqref="U37:U38">
    <cfRule type="containsText" dxfId="3628" priority="15583" operator="containsText" text="ENTREGADO">
      <formula>NOT(ISERROR(SEARCH("ENTREGADO",U37)))</formula>
    </cfRule>
  </conditionalFormatting>
  <conditionalFormatting sqref="U38">
    <cfRule type="containsText" dxfId="3627" priority="15580" operator="containsText" text="PENDIENTE">
      <formula>NOT(ISERROR(SEARCH("PENDIENTE",#REF!)))</formula>
    </cfRule>
    <cfRule type="containsText" dxfId="3626" priority="15579" operator="containsText" text="ENTREGADO">
      <formula>NOT(ISERROR(SEARCH("ENTREGADO",#REF!)))</formula>
    </cfRule>
    <cfRule type="containsText" dxfId="3625" priority="15578" operator="containsText" text="ENTREGADO">
      <formula>NOT(ISERROR(SEARCH("ENTREGADO",U38)))</formula>
    </cfRule>
    <cfRule type="containsText" dxfId="3624" priority="15581" operator="containsText" text="PENDIENTE">
      <formula>NOT(ISERROR(SEARCH("PENDIENTE",U38)))</formula>
    </cfRule>
    <cfRule type="containsText" dxfId="3623" priority="15577" operator="containsText" text="ENTREGADO">
      <formula>NOT(ISERROR(SEARCH("ENTREGADO",U38)))</formula>
    </cfRule>
  </conditionalFormatting>
  <conditionalFormatting sqref="U39">
    <cfRule type="containsText" dxfId="3622" priority="4058" operator="containsText" text="ENTREGADO">
      <formula>NOT(ISERROR(SEARCH("ENTREGADO",U39)))</formula>
    </cfRule>
    <cfRule type="containsText" dxfId="3621" priority="4057" operator="containsText" text="ENTREGADO">
      <formula>NOT(ISERROR(SEARCH("ENTREGADO",#REF!)))</formula>
    </cfRule>
    <cfRule type="containsText" dxfId="3620" priority="4056" operator="containsText" text="PRIORIDAD">
      <formula>NOT(ISERROR(SEARCH("PRIORIDAD",U39)))</formula>
    </cfRule>
    <cfRule type="containsText" dxfId="3619" priority="4067" operator="containsText" text="ENTREGADO">
      <formula>NOT(ISERROR(SEARCH("ENTREGADO",#REF!)))</formula>
    </cfRule>
    <cfRule type="containsText" dxfId="3618" priority="4066" operator="containsText" text="ENTREGADO">
      <formula>NOT(ISERROR(SEARCH("ENTREGADO",U39)))</formula>
    </cfRule>
    <cfRule type="containsText" dxfId="3617" priority="4054" operator="containsText" text="PENDIENTE">
      <formula>NOT(ISERROR(SEARCH("PENDIENTE",#REF!)))</formula>
    </cfRule>
    <cfRule type="containsText" dxfId="3616" priority="4060" operator="containsText" text="PENDIENTE">
      <formula>NOT(ISERROR(SEARCH("PENDIENTE",U39)))</formula>
    </cfRule>
    <cfRule type="containsText" dxfId="3615" priority="4065" operator="containsText" text="PENDIENTE">
      <formula>NOT(ISERROR(SEARCH("PENDIENTE",U39)))</formula>
    </cfRule>
    <cfRule type="containsText" dxfId="3614" priority="4061" operator="containsText" text="ENTREGADO">
      <formula>NOT(ISERROR(SEARCH("ENTREGADO",U39)))</formula>
    </cfRule>
    <cfRule type="containsText" dxfId="3613" priority="4053" operator="containsText" text="PENDIENTE">
      <formula>NOT(ISERROR(SEARCH("PENDIENTE",U39)))</formula>
    </cfRule>
    <cfRule type="containsText" dxfId="3612" priority="4055" operator="containsText" text="ENTREGADO">
      <formula>NOT(ISERROR(SEARCH("ENTREGADO",U39)))</formula>
    </cfRule>
    <cfRule type="containsText" dxfId="3611" priority="4051" operator="containsText" text="PENDIENTE">
      <formula>NOT(ISERROR(SEARCH("PENDIENTE",U39)))</formula>
    </cfRule>
    <cfRule type="containsText" dxfId="3610" priority="4062" operator="containsText" text="ENTREGADO">
      <formula>NOT(ISERROR(SEARCH("ENTREGADO",#REF!)))</formula>
    </cfRule>
    <cfRule type="containsText" dxfId="3609" priority="4063" operator="containsText" text="ENTREGADO">
      <formula>NOT(ISERROR(SEARCH("ENTREGADO",U39)))</formula>
    </cfRule>
    <cfRule type="containsText" dxfId="3608" priority="4064" operator="containsText" text="PENDIENTE">
      <formula>NOT(ISERROR(SEARCH("PENDIENTE",#REF!)))</formula>
    </cfRule>
    <cfRule type="containsText" dxfId="3607" priority="4059" operator="containsText" text="PENDIENTE">
      <formula>NOT(ISERROR(SEARCH("PENDIENTE",#REF!)))</formula>
    </cfRule>
    <cfRule type="containsText" dxfId="3606" priority="4052" operator="containsText" text="ENTREGADO">
      <formula>NOT(ISERROR(SEARCH("ENTREGADO",U39)))</formula>
    </cfRule>
  </conditionalFormatting>
  <conditionalFormatting sqref="U42:U44">
    <cfRule type="containsText" dxfId="3605" priority="12800" operator="containsText" text="ENTREGADO">
      <formula>NOT(ISERROR(SEARCH("ENTREGADO",U42)))</formula>
    </cfRule>
    <cfRule type="containsText" dxfId="3604" priority="12801" operator="containsText" text="ENTREGADO">
      <formula>NOT(ISERROR(SEARCH("ENTREGADO",#REF!)))</formula>
    </cfRule>
    <cfRule type="containsText" dxfId="3603" priority="12802" operator="containsText" text="PENDIENTE">
      <formula>NOT(ISERROR(SEARCH("PENDIENTE",#REF!)))</formula>
    </cfRule>
    <cfRule type="containsText" dxfId="3602" priority="12803" operator="containsText" text="PENDIENTE">
      <formula>NOT(ISERROR(SEARCH("PENDIENTE",U42)))</formula>
    </cfRule>
  </conditionalFormatting>
  <conditionalFormatting sqref="U42:U45">
    <cfRule type="containsText" dxfId="3601" priority="11639" operator="containsText" text="ENTREGADO">
      <formula>NOT(ISERROR(SEARCH("ENTREGADO",U42)))</formula>
    </cfRule>
  </conditionalFormatting>
  <conditionalFormatting sqref="U45 U50">
    <cfRule type="containsText" dxfId="3600" priority="9166" operator="containsText" text="ENTREGADO">
      <formula>NOT(ISERROR(SEARCH("ENTREGADO",U45)))</formula>
    </cfRule>
  </conditionalFormatting>
  <conditionalFormatting sqref="U45">
    <cfRule type="containsText" dxfId="3599" priority="11635" operator="containsText" text="ENTREGADO">
      <formula>NOT(ISERROR(SEARCH("ENTREGADO",#REF!)))</formula>
    </cfRule>
    <cfRule type="containsText" dxfId="3598" priority="11636" operator="containsText" text="PENDIENTE">
      <formula>NOT(ISERROR(SEARCH("PENDIENTE",#REF!)))</formula>
    </cfRule>
    <cfRule type="containsText" dxfId="3597" priority="11637" operator="containsText" text="PENDIENTE">
      <formula>NOT(ISERROR(SEARCH("PENDIENTE",U45)))</formula>
    </cfRule>
    <cfRule type="containsText" dxfId="3596" priority="11634" operator="containsText" text="ENTREGADO">
      <formula>NOT(ISERROR(SEARCH("ENTREGADO",U45)))</formula>
    </cfRule>
  </conditionalFormatting>
  <conditionalFormatting sqref="U46:U49">
    <cfRule type="containsText" dxfId="3595" priority="4395" operator="containsText" text="ENTREGADO">
      <formula>NOT(ISERROR(SEARCH("ENTREGADO",U46)))</formula>
    </cfRule>
    <cfRule type="containsText" dxfId="3594" priority="4393" operator="containsText" text="PENDIENTE">
      <formula>NOT(ISERROR(SEARCH("PENDIENTE",U46)))</formula>
    </cfRule>
    <cfRule type="containsText" dxfId="3593" priority="4376" operator="containsText" text="ENTREGADO">
      <formula>NOT(ISERROR(SEARCH("ENTREGADO",U46)))</formula>
    </cfRule>
    <cfRule type="containsText" dxfId="3592" priority="4391" operator="containsText" text="ENTREGADO">
      <formula>NOT(ISERROR(SEARCH("ENTREGADO",#REF!)))</formula>
    </cfRule>
    <cfRule type="containsText" dxfId="3591" priority="4392" operator="containsText" text="PENDIENTE">
      <formula>NOT(ISERROR(SEARCH("PENDIENTE",#REF!)))</formula>
    </cfRule>
    <cfRule type="containsText" dxfId="3590" priority="4390" operator="containsText" text="ENTREGADO">
      <formula>NOT(ISERROR(SEARCH("ENTREGADO",U46)))</formula>
    </cfRule>
  </conditionalFormatting>
  <conditionalFormatting sqref="U50 U54">
    <cfRule type="containsText" dxfId="3589" priority="7809" operator="containsText" text="ENTREGADO">
      <formula>NOT(ISERROR(SEARCH("ENTREGADO",U50)))</formula>
    </cfRule>
  </conditionalFormatting>
  <conditionalFormatting sqref="U50">
    <cfRule type="containsText" dxfId="3588" priority="9162" operator="containsText" text="ENTREGADO">
      <formula>NOT(ISERROR(SEARCH("ENTREGADO",#REF!)))</formula>
    </cfRule>
    <cfRule type="containsText" dxfId="3587" priority="9163" operator="containsText" text="PENDIENTE">
      <formula>NOT(ISERROR(SEARCH("PENDIENTE",#REF!)))</formula>
    </cfRule>
    <cfRule type="containsText" dxfId="3586" priority="9161" operator="containsText" text="ENTREGADO">
      <formula>NOT(ISERROR(SEARCH("ENTREGADO",U50)))</formula>
    </cfRule>
    <cfRule type="containsText" dxfId="3585" priority="9164" operator="containsText" text="PENDIENTE">
      <formula>NOT(ISERROR(SEARCH("PENDIENTE",U50)))</formula>
    </cfRule>
  </conditionalFormatting>
  <conditionalFormatting sqref="U51">
    <cfRule type="containsText" dxfId="3584" priority="11355" operator="containsText" text="PENDIENTE">
      <formula>NOT(ISERROR(SEARCH("PENDIENTE",U51)))</formula>
    </cfRule>
    <cfRule type="containsText" dxfId="3583" priority="11354" operator="containsText" text="PENDIENTE">
      <formula>NOT(ISERROR(SEARCH("PENDIENTE",#REF!)))</formula>
    </cfRule>
    <cfRule type="containsText" dxfId="3582" priority="11353" operator="containsText" text="ENTREGADO">
      <formula>NOT(ISERROR(SEARCH("ENTREGADO",#REF!)))</formula>
    </cfRule>
    <cfRule type="containsText" dxfId="3581" priority="11352" operator="containsText" text="ENTREGADO">
      <formula>NOT(ISERROR(SEARCH("ENTREGADO",U51)))</formula>
    </cfRule>
  </conditionalFormatting>
  <conditionalFormatting sqref="U51:U53">
    <cfRule type="containsText" dxfId="3580" priority="11075" operator="containsText" text="ENTREGADO">
      <formula>NOT(ISERROR(SEARCH("ENTREGADO",U51)))</formula>
    </cfRule>
  </conditionalFormatting>
  <conditionalFormatting sqref="U52:U53">
    <cfRule type="containsText" dxfId="3579" priority="11074" operator="containsText" text="PRIORIDAD">
      <formula>NOT(ISERROR(SEARCH("PRIORIDAD",U52)))</formula>
    </cfRule>
    <cfRule type="containsText" dxfId="3578" priority="11073" operator="containsText" text="PENDIENTE">
      <formula>NOT(ISERROR(SEARCH("PENDIENTE",U52)))</formula>
    </cfRule>
    <cfRule type="containsText" dxfId="3577" priority="11072" operator="containsText" text="PENDIENTE">
      <formula>NOT(ISERROR(SEARCH("PENDIENTE",#REF!)))</formula>
    </cfRule>
    <cfRule type="containsText" dxfId="3576" priority="11070" operator="containsText" text="ENTREGADO">
      <formula>NOT(ISERROR(SEARCH("ENTREGADO",U52)))</formula>
    </cfRule>
  </conditionalFormatting>
  <conditionalFormatting sqref="U53">
    <cfRule type="containsText" dxfId="3575" priority="230" operator="containsText" text="ENTREGADO">
      <formula>NOT(ISERROR(SEARCH("ENTREGADO",U53)))</formula>
    </cfRule>
    <cfRule type="containsText" dxfId="3574" priority="231" operator="containsText" text="ENTREGADO">
      <formula>NOT(ISERROR(SEARCH("ENTREGADO",#REF!)))</formula>
    </cfRule>
    <cfRule type="containsText" dxfId="3573" priority="232" operator="containsText" text="PENDIENTE">
      <formula>NOT(ISERROR(SEARCH("PENDIENTE",#REF!)))</formula>
    </cfRule>
    <cfRule type="containsText" dxfId="3572" priority="233" operator="containsText" text="PENDIENTE">
      <formula>NOT(ISERROR(SEARCH("PENDIENTE",U53)))</formula>
    </cfRule>
    <cfRule type="containsText" dxfId="3571" priority="235" operator="containsText" text="ENTREGADO">
      <formula>NOT(ISERROR(SEARCH("ENTREGADO",U53)))</formula>
    </cfRule>
    <cfRule type="containsText" dxfId="3570" priority="229" operator="containsText" text="ENTREGADO">
      <formula>NOT(ISERROR(SEARCH("ENTREGADO",U53)))</formula>
    </cfRule>
  </conditionalFormatting>
  <conditionalFormatting sqref="U54">
    <cfRule type="containsText" dxfId="3569" priority="7806" operator="containsText" text="PENDIENTE">
      <formula>NOT(ISERROR(SEARCH("PENDIENTE",#REF!)))</formula>
    </cfRule>
    <cfRule type="containsText" dxfId="3568" priority="7807" operator="containsText" text="PENDIENTE">
      <formula>NOT(ISERROR(SEARCH("PENDIENTE",U54)))</formula>
    </cfRule>
    <cfRule type="containsText" dxfId="3567" priority="7803" operator="containsText" text="ENTREGADO">
      <formula>NOT(ISERROR(SEARCH("ENTREGADO",U54)))</formula>
    </cfRule>
    <cfRule type="containsText" dxfId="3566" priority="7804" operator="containsText" text="ENTREGADO">
      <formula>NOT(ISERROR(SEARCH("ENTREGADO",U54)))</formula>
    </cfRule>
    <cfRule type="containsText" dxfId="3565" priority="7805" operator="containsText" text="ENTREGADO">
      <formula>NOT(ISERROR(SEARCH("ENTREGADO",#REF!)))</formula>
    </cfRule>
  </conditionalFormatting>
  <conditionalFormatting sqref="U55">
    <cfRule type="containsText" dxfId="3564" priority="618" operator="containsText" text="PENDIENTE">
      <formula>NOT(ISERROR(SEARCH("PENDIENTE",#REF!)))</formula>
    </cfRule>
    <cfRule type="containsText" dxfId="3563" priority="621" operator="containsText" text="ENTREGADO">
      <formula>NOT(ISERROR(SEARCH("ENTREGADO",U55)))</formula>
    </cfRule>
    <cfRule type="containsText" dxfId="3562" priority="619" operator="containsText" text="PENDIENTE">
      <formula>NOT(ISERROR(SEARCH("PENDIENTE",U55)))</formula>
    </cfRule>
    <cfRule type="containsText" dxfId="3561" priority="620" operator="containsText" text="PRIORIDAD">
      <formula>NOT(ISERROR(SEARCH("PRIORIDAD",U55)))</formula>
    </cfRule>
    <cfRule type="containsText" dxfId="3560" priority="616" operator="containsText" text="ENTREGADO">
      <formula>NOT(ISERROR(SEARCH("ENTREGADO",U55)))</formula>
    </cfRule>
  </conditionalFormatting>
  <conditionalFormatting sqref="U56">
    <cfRule type="containsText" dxfId="3559" priority="6975" operator="containsText" text="PENDIENTE">
      <formula>NOT(ISERROR(SEARCH("PENDIENTE",U56)))</formula>
    </cfRule>
    <cfRule type="containsText" dxfId="3558" priority="6976" operator="containsText" text="PRIORIDAD">
      <formula>NOT(ISERROR(SEARCH("PRIORIDAD",U56)))</formula>
    </cfRule>
    <cfRule type="containsText" dxfId="3557" priority="6972" operator="containsText" text="ENTREGADO">
      <formula>NOT(ISERROR(SEARCH("ENTREGADO",U56)))</formula>
    </cfRule>
    <cfRule type="containsText" dxfId="3556" priority="6974" operator="containsText" text="PENDIENTE">
      <formula>NOT(ISERROR(SEARCH("PENDIENTE",#REF!)))</formula>
    </cfRule>
  </conditionalFormatting>
  <conditionalFormatting sqref="U58">
    <cfRule type="containsText" dxfId="3555" priority="9030" operator="containsText" text="ENTREGADO">
      <formula>NOT(ISERROR(SEARCH("ENTREGADO",U58)))</formula>
    </cfRule>
    <cfRule type="containsText" dxfId="3554" priority="9031" operator="containsText" text="ENTREGADO">
      <formula>NOT(ISERROR(SEARCH("ENTREGADO",U58)))</formula>
    </cfRule>
    <cfRule type="containsText" dxfId="3553" priority="9032" operator="containsText" text="ENTREGADO">
      <formula>NOT(ISERROR(SEARCH("ENTREGADO",#REF!)))</formula>
    </cfRule>
    <cfRule type="containsText" dxfId="3552" priority="9033" operator="containsText" text="PENDIENTE">
      <formula>NOT(ISERROR(SEARCH("PENDIENTE",#REF!)))</formula>
    </cfRule>
    <cfRule type="containsText" dxfId="3551" priority="9034" operator="containsText" text="PENDIENTE">
      <formula>NOT(ISERROR(SEARCH("PENDIENTE",U58)))</formula>
    </cfRule>
    <cfRule type="containsText" dxfId="3550" priority="9035" operator="containsText" text="PRIORIDAD">
      <formula>NOT(ISERROR(SEARCH("PRIORIDAD",U58)))</formula>
    </cfRule>
  </conditionalFormatting>
  <conditionalFormatting sqref="U59">
    <cfRule type="containsText" dxfId="3549" priority="3514" operator="containsText" text="PENDIENTE">
      <formula>NOT(ISERROR(SEARCH("PENDIENTE",#REF!)))</formula>
    </cfRule>
    <cfRule type="containsText" dxfId="3548" priority="3513" operator="containsText" text="ENTREGADO">
      <formula>NOT(ISERROR(SEARCH("ENTREGADO",#REF!)))</formula>
    </cfRule>
    <cfRule type="containsText" dxfId="3547" priority="3511" operator="containsText" text="ENTREGADO">
      <formula>NOT(ISERROR(SEARCH("ENTREGADO",U59)))</formula>
    </cfRule>
    <cfRule type="containsText" dxfId="3546" priority="3512" operator="containsText" text="ENTREGADO">
      <formula>NOT(ISERROR(SEARCH("ENTREGADO",U59)))</formula>
    </cfRule>
    <cfRule type="containsText" dxfId="3545" priority="3515" operator="containsText" text="PENDIENTE">
      <formula>NOT(ISERROR(SEARCH("PENDIENTE",U59)))</formula>
    </cfRule>
    <cfRule type="containsText" dxfId="3544" priority="3516" operator="containsText" text="PRIORIDAD">
      <formula>NOT(ISERROR(SEARCH("PRIORIDAD",U59)))</formula>
    </cfRule>
  </conditionalFormatting>
  <conditionalFormatting sqref="U60">
    <cfRule type="containsText" dxfId="3543" priority="4682" operator="containsText" text="PENDIENTE">
      <formula>NOT(ISERROR(SEARCH("PENDIENTE",U60)))</formula>
    </cfRule>
    <cfRule type="containsText" dxfId="3542" priority="4681" operator="containsText" text="PENDIENTE">
      <formula>NOT(ISERROR(SEARCH("PENDIENTE",#REF!)))</formula>
    </cfRule>
    <cfRule type="containsText" dxfId="3541" priority="4680" operator="containsText" text="ENTREGADO">
      <formula>NOT(ISERROR(SEARCH("ENTREGADO",#REF!)))</formula>
    </cfRule>
    <cfRule type="containsText" dxfId="3540" priority="4679" operator="containsText" text="ENTREGADO">
      <formula>NOT(ISERROR(SEARCH("ENTREGADO",U60)))</formula>
    </cfRule>
    <cfRule type="containsText" dxfId="3539" priority="4678" operator="containsText" text="ENTREGADO">
      <formula>NOT(ISERROR(SEARCH("ENTREGADO",U60)))</formula>
    </cfRule>
    <cfRule type="containsText" dxfId="3538" priority="4683" operator="containsText" text="PRIORIDAD">
      <formula>NOT(ISERROR(SEARCH("PRIORIDAD",U60)))</formula>
    </cfRule>
  </conditionalFormatting>
  <conditionalFormatting sqref="U61">
    <cfRule type="containsText" dxfId="3537" priority="4544" operator="containsText" text="PRIORIDAD">
      <formula>NOT(ISERROR(SEARCH("PRIORIDAD",U61)))</formula>
    </cfRule>
    <cfRule type="containsText" dxfId="3536" priority="4543" operator="containsText" text="PENDIENTE">
      <formula>NOT(ISERROR(SEARCH("PENDIENTE",U61)))</formula>
    </cfRule>
    <cfRule type="containsText" dxfId="3535" priority="4540" operator="containsText" text="ENTREGADO">
      <formula>NOT(ISERROR(SEARCH("ENTREGADO",U61)))</formula>
    </cfRule>
    <cfRule type="containsText" dxfId="3534" priority="4539" operator="containsText" text="ENTREGADO">
      <formula>NOT(ISERROR(SEARCH("ENTREGADO",U61)))</formula>
    </cfRule>
    <cfRule type="containsText" dxfId="3533" priority="4541" operator="containsText" text="ENTREGADO">
      <formula>NOT(ISERROR(SEARCH("ENTREGADO",#REF!)))</formula>
    </cfRule>
    <cfRule type="containsText" dxfId="3532" priority="4542" operator="containsText" text="PENDIENTE">
      <formula>NOT(ISERROR(SEARCH("PENDIENTE",#REF!)))</formula>
    </cfRule>
  </conditionalFormatting>
  <conditionalFormatting sqref="U71">
    <cfRule type="containsText" dxfId="3531" priority="9768" operator="containsText" text="PENDIENTE">
      <formula>NOT(ISERROR(SEARCH("PENDIENTE",U71)))</formula>
    </cfRule>
    <cfRule type="containsText" dxfId="3530" priority="9770" operator="containsText" text="ENTREGADO">
      <formula>NOT(ISERROR(SEARCH("ENTREGADO",U71)))</formula>
    </cfRule>
    <cfRule type="containsText" dxfId="3529" priority="9766" operator="containsText" text="ENTREGADO">
      <formula>NOT(ISERROR(SEARCH("ENTREGADO",#REF!)))</formula>
    </cfRule>
    <cfRule type="containsText" dxfId="3528" priority="9767" operator="containsText" text="PENDIENTE">
      <formula>NOT(ISERROR(SEARCH("PENDIENTE",#REF!)))</formula>
    </cfRule>
    <cfRule type="containsText" dxfId="3527" priority="9769" operator="containsText" text="PRIORIDAD">
      <formula>NOT(ISERROR(SEARCH("PRIORIDAD",U71)))</formula>
    </cfRule>
  </conditionalFormatting>
  <conditionalFormatting sqref="U71:U74">
    <cfRule type="containsText" dxfId="3526" priority="6429" operator="containsText" text="ENTREGADO">
      <formula>NOT(ISERROR(SEARCH("ENTREGADO",U71)))</formula>
    </cfRule>
  </conditionalFormatting>
  <conditionalFormatting sqref="U72">
    <cfRule type="containsText" dxfId="3525" priority="6686" operator="containsText" text="PENDIENTE">
      <formula>NOT(ISERROR(SEARCH("PENDIENTE",#REF!)))</formula>
    </cfRule>
    <cfRule type="containsText" dxfId="3524" priority="6687" operator="containsText" text="PENDIENTE">
      <formula>NOT(ISERROR(SEARCH("PENDIENTE",U72)))</formula>
    </cfRule>
    <cfRule type="containsText" dxfId="3523" priority="6688" operator="containsText" text="PRIORIDAD">
      <formula>NOT(ISERROR(SEARCH("PRIORIDAD",U72)))</formula>
    </cfRule>
    <cfRule type="containsText" dxfId="3522" priority="6685" operator="containsText" text="ENTREGADO">
      <formula>NOT(ISERROR(SEARCH("ENTREGADO",#REF!)))</formula>
    </cfRule>
  </conditionalFormatting>
  <conditionalFormatting sqref="U73">
    <cfRule type="containsText" dxfId="3521" priority="6559" operator="containsText" text="PENDIENTE">
      <formula>NOT(ISERROR(SEARCH("PENDIENTE",#REF!)))</formula>
    </cfRule>
    <cfRule type="containsText" dxfId="3520" priority="6558" operator="containsText" text="ENTREGADO">
      <formula>NOT(ISERROR(SEARCH("ENTREGADO",#REF!)))</formula>
    </cfRule>
    <cfRule type="containsText" dxfId="3519" priority="6560" operator="containsText" text="PENDIENTE">
      <formula>NOT(ISERROR(SEARCH("PENDIENTE",U73)))</formula>
    </cfRule>
    <cfRule type="containsText" dxfId="3518" priority="6562" operator="containsText" text="ENTREGADO">
      <formula>NOT(ISERROR(SEARCH("ENTREGADO",U73)))</formula>
    </cfRule>
    <cfRule type="containsText" dxfId="3517" priority="6561" operator="containsText" text="PRIORIDAD">
      <formula>NOT(ISERROR(SEARCH("PRIORIDAD",U73)))</formula>
    </cfRule>
  </conditionalFormatting>
  <conditionalFormatting sqref="U74">
    <cfRule type="containsText" dxfId="3516" priority="6432" operator="containsText" text="PENDIENTE">
      <formula>NOT(ISERROR(SEARCH("PENDIENTE",U74)))</formula>
    </cfRule>
    <cfRule type="containsText" dxfId="3515" priority="6431" operator="containsText" text="PENDIENTE">
      <formula>NOT(ISERROR(SEARCH("PENDIENTE",#REF!)))</formula>
    </cfRule>
    <cfRule type="containsText" dxfId="3514" priority="6434" operator="containsText" text="ENTREGADO">
      <formula>NOT(ISERROR(SEARCH("ENTREGADO",U74)))</formula>
    </cfRule>
    <cfRule type="containsText" dxfId="3513" priority="6430" operator="containsText" text="ENTREGADO">
      <formula>NOT(ISERROR(SEARCH("ENTREGADO",#REF!)))</formula>
    </cfRule>
    <cfRule type="containsText" dxfId="3512" priority="6433" operator="containsText" text="PRIORIDAD">
      <formula>NOT(ISERROR(SEARCH("PRIORIDAD",U74)))</formula>
    </cfRule>
  </conditionalFormatting>
  <conditionalFormatting sqref="U75">
    <cfRule type="containsText" dxfId="3511" priority="4817" operator="containsText" text="ENTREGADO">
      <formula>NOT(ISERROR(SEARCH("ENTREGADO",U75)))</formula>
    </cfRule>
    <cfRule type="containsText" dxfId="3510" priority="4822" operator="containsText" text="PRIORIDAD">
      <formula>NOT(ISERROR(SEARCH("PRIORIDAD",U75)))</formula>
    </cfRule>
    <cfRule type="containsText" dxfId="3509" priority="4818" operator="containsText" text="ENTREGADO">
      <formula>NOT(ISERROR(SEARCH("ENTREGADO",U75)))</formula>
    </cfRule>
    <cfRule type="containsText" dxfId="3508" priority="4819" operator="containsText" text="ENTREGADO">
      <formula>NOT(ISERROR(SEARCH("ENTREGADO",#REF!)))</formula>
    </cfRule>
    <cfRule type="containsText" dxfId="3507" priority="4820" operator="containsText" text="PENDIENTE">
      <formula>NOT(ISERROR(SEARCH("PENDIENTE",#REF!)))</formula>
    </cfRule>
    <cfRule type="containsText" dxfId="3506" priority="4821" operator="containsText" text="PENDIENTE">
      <formula>NOT(ISERROR(SEARCH("PENDIENTE",U75)))</formula>
    </cfRule>
  </conditionalFormatting>
  <conditionalFormatting sqref="U76 U80:U81 U83:U84">
    <cfRule type="containsText" dxfId="3505" priority="2928" operator="containsText" text="ENTREGADO">
      <formula>NOT(ISERROR(SEARCH("ENTREGADO",U76)))</formula>
    </cfRule>
    <cfRule type="containsText" dxfId="3504" priority="2929" operator="containsText" text="ENTREGADO">
      <formula>NOT(ISERROR(SEARCH("ENTREGADO",U76)))</formula>
    </cfRule>
    <cfRule type="containsText" dxfId="3503" priority="2932" operator="containsText" text="PENDIENTE">
      <formula>NOT(ISERROR(SEARCH("PENDIENTE",U76)))</formula>
    </cfRule>
    <cfRule type="containsText" dxfId="3502" priority="2930" operator="containsText" text="ENTREGADO">
      <formula>NOT(ISERROR(SEARCH("ENTREGADO",#REF!)))</formula>
    </cfRule>
    <cfRule type="containsText" dxfId="3501" priority="2931" operator="containsText" text="PENDIENTE">
      <formula>NOT(ISERROR(SEARCH("PENDIENTE",#REF!)))</formula>
    </cfRule>
    <cfRule type="containsText" dxfId="3500" priority="2933" operator="containsText" text="PRIORIDAD">
      <formula>NOT(ISERROR(SEARCH("PRIORIDAD",U76)))</formula>
    </cfRule>
  </conditionalFormatting>
  <conditionalFormatting sqref="U78">
    <cfRule type="containsText" dxfId="3499" priority="1627" operator="containsText" text="ENTREGADO">
      <formula>NOT(ISERROR(SEARCH("ENTREGADO",U78)))</formula>
    </cfRule>
    <cfRule type="containsText" dxfId="3498" priority="1628" operator="containsText" text="ENTREGADO">
      <formula>NOT(ISERROR(SEARCH("ENTREGADO",U78)))</formula>
    </cfRule>
    <cfRule type="containsText" dxfId="3497" priority="1632" operator="containsText" text="PRIORIDAD">
      <formula>NOT(ISERROR(SEARCH("PRIORIDAD",U78)))</formula>
    </cfRule>
    <cfRule type="containsText" dxfId="3496" priority="1631" operator="containsText" text="PENDIENTE">
      <formula>NOT(ISERROR(SEARCH("PENDIENTE",U78)))</formula>
    </cfRule>
    <cfRule type="containsText" dxfId="3495" priority="1630" operator="containsText" text="PENDIENTE">
      <formula>NOT(ISERROR(SEARCH("PENDIENTE",#REF!)))</formula>
    </cfRule>
    <cfRule type="containsText" dxfId="3494" priority="1629" operator="containsText" text="ENTREGADO">
      <formula>NOT(ISERROR(SEARCH("ENTREGADO",#REF!)))</formula>
    </cfRule>
  </conditionalFormatting>
  <conditionalFormatting sqref="U82">
    <cfRule type="containsText" dxfId="3493" priority="1369" operator="containsText" text="PRIORIDAD">
      <formula>NOT(ISERROR(SEARCH("PRIORIDAD",U82)))</formula>
    </cfRule>
    <cfRule type="containsText" dxfId="3492" priority="1368" operator="containsText" text="PENDIENTE">
      <formula>NOT(ISERROR(SEARCH("PENDIENTE",U82)))</formula>
    </cfRule>
    <cfRule type="containsText" dxfId="3491" priority="1366" operator="containsText" text="ENTREGADO">
      <formula>NOT(ISERROR(SEARCH("ENTREGADO",#REF!)))</formula>
    </cfRule>
    <cfRule type="containsText" dxfId="3490" priority="1367" operator="containsText" text="PENDIENTE">
      <formula>NOT(ISERROR(SEARCH("PENDIENTE",#REF!)))</formula>
    </cfRule>
    <cfRule type="containsText" dxfId="3489" priority="1365" operator="containsText" text="ENTREGADO">
      <formula>NOT(ISERROR(SEARCH("ENTREGADO",U82)))</formula>
    </cfRule>
    <cfRule type="containsText" dxfId="3488" priority="1364" operator="containsText" text="ENTREGADO">
      <formula>NOT(ISERROR(SEARCH("ENTREGADO",U82)))</formula>
    </cfRule>
  </conditionalFormatting>
  <conditionalFormatting sqref="U85">
    <cfRule type="containsText" dxfId="3487" priority="2674" operator="containsText" text="PENDIENTE">
      <formula>NOT(ISERROR(SEARCH("PENDIENTE",U85)))</formula>
    </cfRule>
    <cfRule type="containsText" dxfId="3486" priority="2671" operator="containsText" text="ENTREGADO">
      <formula>NOT(ISERROR(SEARCH("ENTREGADO",U85)))</formula>
    </cfRule>
    <cfRule type="containsText" dxfId="3485" priority="2670" operator="containsText" text="ENTREGADO">
      <formula>NOT(ISERROR(SEARCH("ENTREGADO",U85)))</formula>
    </cfRule>
    <cfRule type="containsText" dxfId="3484" priority="2672" operator="containsText" text="ENTREGADO">
      <formula>NOT(ISERROR(SEARCH("ENTREGADO",#REF!)))</formula>
    </cfRule>
    <cfRule type="containsText" dxfId="3483" priority="2673" operator="containsText" text="PENDIENTE">
      <formula>NOT(ISERROR(SEARCH("PENDIENTE",#REF!)))</formula>
    </cfRule>
    <cfRule type="containsText" dxfId="3482" priority="2675" operator="containsText" text="PRIORIDAD">
      <formula>NOT(ISERROR(SEARCH("PRIORIDAD",U85)))</formula>
    </cfRule>
  </conditionalFormatting>
  <conditionalFormatting sqref="U86">
    <cfRule type="containsText" dxfId="3481" priority="2519" operator="containsText" text="PENDIENTE">
      <formula>NOT(ISERROR(SEARCH("PENDIENTE",U86)))</formula>
    </cfRule>
    <cfRule type="containsText" dxfId="3480" priority="2518" operator="containsText" text="PENDIENTE">
      <formula>NOT(ISERROR(SEARCH("PENDIENTE",#REF!)))</formula>
    </cfRule>
    <cfRule type="containsText" dxfId="3479" priority="2517" operator="containsText" text="ENTREGADO">
      <formula>NOT(ISERROR(SEARCH("ENTREGADO",#REF!)))</formula>
    </cfRule>
    <cfRule type="containsText" dxfId="3478" priority="2520" operator="containsText" text="PRIORIDAD">
      <formula>NOT(ISERROR(SEARCH("PRIORIDAD",U86)))</formula>
    </cfRule>
    <cfRule type="containsText" dxfId="3477" priority="2515" operator="containsText" text="ENTREGADO">
      <formula>NOT(ISERROR(SEARCH("ENTREGADO",U86)))</formula>
    </cfRule>
    <cfRule type="containsText" dxfId="3476" priority="2516" operator="containsText" text="ENTREGADO">
      <formula>NOT(ISERROR(SEARCH("ENTREGADO",U86)))</formula>
    </cfRule>
  </conditionalFormatting>
  <conditionalFormatting sqref="U87">
    <cfRule type="containsText" dxfId="3475" priority="2387" operator="containsText" text="ENTREGADO">
      <formula>NOT(ISERROR(SEARCH("ENTREGADO",U87)))</formula>
    </cfRule>
    <cfRule type="containsText" dxfId="3474" priority="2391" operator="containsText" text="PRIORIDAD">
      <formula>NOT(ISERROR(SEARCH("PRIORIDAD",U87)))</formula>
    </cfRule>
    <cfRule type="containsText" dxfId="3473" priority="2386" operator="containsText" text="ENTREGADO">
      <formula>NOT(ISERROR(SEARCH("ENTREGADO",U87)))</formula>
    </cfRule>
    <cfRule type="containsText" dxfId="3472" priority="2390" operator="containsText" text="PENDIENTE">
      <formula>NOT(ISERROR(SEARCH("PENDIENTE",U87)))</formula>
    </cfRule>
    <cfRule type="containsText" dxfId="3471" priority="2389" operator="containsText" text="PENDIENTE">
      <formula>NOT(ISERROR(SEARCH("PENDIENTE",#REF!)))</formula>
    </cfRule>
    <cfRule type="containsText" dxfId="3470" priority="2388" operator="containsText" text="ENTREGADO">
      <formula>NOT(ISERROR(SEARCH("ENTREGADO",#REF!)))</formula>
    </cfRule>
  </conditionalFormatting>
  <conditionalFormatting sqref="U88">
    <cfRule type="containsText" dxfId="3469" priority="2257" operator="containsText" text="ENTREGADO">
      <formula>NOT(ISERROR(SEARCH("ENTREGADO",U88)))</formula>
    </cfRule>
    <cfRule type="containsText" dxfId="3468" priority="2261" operator="containsText" text="PENDIENTE">
      <formula>NOT(ISERROR(SEARCH("PENDIENTE",U88)))</formula>
    </cfRule>
    <cfRule type="containsText" dxfId="3467" priority="2260" operator="containsText" text="PENDIENTE">
      <formula>NOT(ISERROR(SEARCH("PENDIENTE",#REF!)))</formula>
    </cfRule>
    <cfRule type="containsText" dxfId="3466" priority="2259" operator="containsText" text="ENTREGADO">
      <formula>NOT(ISERROR(SEARCH("ENTREGADO",#REF!)))</formula>
    </cfRule>
    <cfRule type="containsText" dxfId="3465" priority="2262" operator="containsText" text="PRIORIDAD">
      <formula>NOT(ISERROR(SEARCH("PRIORIDAD",U88)))</formula>
    </cfRule>
    <cfRule type="containsText" dxfId="3464" priority="2258" operator="containsText" text="ENTREGADO">
      <formula>NOT(ISERROR(SEARCH("ENTREGADO",U88)))</formula>
    </cfRule>
  </conditionalFormatting>
  <conditionalFormatting sqref="U89">
    <cfRule type="containsText" dxfId="3463" priority="1878" operator="containsText" text="ENTREGADO">
      <formula>NOT(ISERROR(SEARCH("ENTREGADO",#REF!)))</formula>
    </cfRule>
    <cfRule type="containsText" dxfId="3462" priority="1881" operator="containsText" text="PRIORIDAD">
      <formula>NOT(ISERROR(SEARCH("PRIORIDAD",U89)))</formula>
    </cfRule>
    <cfRule type="containsText" dxfId="3461" priority="1876" operator="containsText" text="ENTREGADO">
      <formula>NOT(ISERROR(SEARCH("ENTREGADO",U89)))</formula>
    </cfRule>
    <cfRule type="containsText" dxfId="3460" priority="1877" operator="containsText" text="ENTREGADO">
      <formula>NOT(ISERROR(SEARCH("ENTREGADO",U89)))</formula>
    </cfRule>
    <cfRule type="containsText" dxfId="3459" priority="1879" operator="containsText" text="PENDIENTE">
      <formula>NOT(ISERROR(SEARCH("PENDIENTE",#REF!)))</formula>
    </cfRule>
    <cfRule type="containsText" dxfId="3458" priority="1880" operator="containsText" text="PENDIENTE">
      <formula>NOT(ISERROR(SEARCH("PENDIENTE",U89)))</formula>
    </cfRule>
  </conditionalFormatting>
  <conditionalFormatting sqref="U90">
    <cfRule type="containsText" dxfId="3457" priority="1202" operator="containsText" text="ENTREGADO">
      <formula>NOT(ISERROR(SEARCH("ENTREGADO",U90)))</formula>
    </cfRule>
    <cfRule type="containsText" dxfId="3456" priority="1203" operator="containsText" text="ENTREGADO">
      <formula>NOT(ISERROR(SEARCH("ENTREGADO",#REF!)))</formula>
    </cfRule>
    <cfRule type="containsText" dxfId="3455" priority="1205" operator="containsText" text="PENDIENTE">
      <formula>NOT(ISERROR(SEARCH("PENDIENTE",U90)))</formula>
    </cfRule>
    <cfRule type="containsText" dxfId="3454" priority="1206" operator="containsText" text="PRIORIDAD">
      <formula>NOT(ISERROR(SEARCH("PRIORIDAD",U90)))</formula>
    </cfRule>
    <cfRule type="containsText" dxfId="3453" priority="1204" operator="containsText" text="PENDIENTE">
      <formula>NOT(ISERROR(SEARCH("PENDIENTE",#REF!)))</formula>
    </cfRule>
    <cfRule type="containsText" dxfId="3452" priority="1201" operator="containsText" text="ENTREGADO">
      <formula>NOT(ISERROR(SEARCH("ENTREGADO",U90)))</formula>
    </cfRule>
  </conditionalFormatting>
  <conditionalFormatting sqref="U91">
    <cfRule type="containsText" dxfId="3451" priority="1026" operator="containsText" text="PRIORIDAD">
      <formula>NOT(ISERROR(SEARCH("PRIORIDAD",U91)))</formula>
    </cfRule>
    <cfRule type="containsText" dxfId="3450" priority="1025" operator="containsText" text="PENDIENTE">
      <formula>NOT(ISERROR(SEARCH("PENDIENTE",U91)))</formula>
    </cfRule>
    <cfRule type="containsText" dxfId="3449" priority="1021" operator="containsText" text="ENTREGADO">
      <formula>NOT(ISERROR(SEARCH("ENTREGADO",U91)))</formula>
    </cfRule>
    <cfRule type="containsText" dxfId="3448" priority="1023" operator="containsText" text="ENTREGADO">
      <formula>NOT(ISERROR(SEARCH("ENTREGADO",#REF!)))</formula>
    </cfRule>
    <cfRule type="containsText" dxfId="3447" priority="1022" operator="containsText" text="ENTREGADO">
      <formula>NOT(ISERROR(SEARCH("ENTREGADO",U91)))</formula>
    </cfRule>
    <cfRule type="containsText" dxfId="3446" priority="1024" operator="containsText" text="PENDIENTE">
      <formula>NOT(ISERROR(SEARCH("PENDIENTE",#REF!)))</formula>
    </cfRule>
  </conditionalFormatting>
  <conditionalFormatting sqref="U92">
    <cfRule type="containsText" dxfId="3445" priority="882" operator="containsText" text="ENTREGADO">
      <formula>NOT(ISERROR(SEARCH("ENTREGADO",#REF!)))</formula>
    </cfRule>
    <cfRule type="containsText" dxfId="3444" priority="883" operator="containsText" text="PENDIENTE">
      <formula>NOT(ISERROR(SEARCH("PENDIENTE",#REF!)))</formula>
    </cfRule>
    <cfRule type="containsText" dxfId="3443" priority="884" operator="containsText" text="PENDIENTE">
      <formula>NOT(ISERROR(SEARCH("PENDIENTE",U92)))</formula>
    </cfRule>
    <cfRule type="containsText" dxfId="3442" priority="885" operator="containsText" text="PRIORIDAD">
      <formula>NOT(ISERROR(SEARCH("PRIORIDAD",U92)))</formula>
    </cfRule>
    <cfRule type="containsText" dxfId="3441" priority="880" operator="containsText" text="ENTREGADO">
      <formula>NOT(ISERROR(SEARCH("ENTREGADO",U92)))</formula>
    </cfRule>
    <cfRule type="containsText" dxfId="3440" priority="881" operator="containsText" text="ENTREGADO">
      <formula>NOT(ISERROR(SEARCH("ENTREGADO",U92)))</formula>
    </cfRule>
  </conditionalFormatting>
  <conditionalFormatting sqref="U7:X7">
    <cfRule type="containsText" dxfId="3439" priority="13580" operator="containsText" text="ENTREGADO">
      <formula>NOT(ISERROR(SEARCH("ENTREGADO",#REF!)))</formula>
    </cfRule>
    <cfRule type="containsText" dxfId="3438" priority="13581" operator="containsText" text="PENDIENTE">
      <formula>NOT(ISERROR(SEARCH("PENDIENTE",#REF!)))</formula>
    </cfRule>
    <cfRule type="containsText" dxfId="3437" priority="13579" operator="containsText" text="ENTREGADO">
      <formula>NOT(ISERROR(SEARCH("ENTREGADO",U7)))</formula>
    </cfRule>
    <cfRule type="containsText" dxfId="3436" priority="13582" operator="containsText" text="PENDIENTE">
      <formula>NOT(ISERROR(SEARCH("PENDIENTE",U7)))</formula>
    </cfRule>
    <cfRule type="containsText" dxfId="3435" priority="13583" operator="containsText" text="PRIORIDAD">
      <formula>NOT(ISERROR(SEARCH("PRIORIDAD",U7)))</formula>
    </cfRule>
  </conditionalFormatting>
  <conditionalFormatting sqref="U18:X18">
    <cfRule type="containsText" dxfId="3434" priority="10342" operator="containsText" text="PRIORIDAD">
      <formula>NOT(ISERROR(SEARCH("PRIORIDAD",U18)))</formula>
    </cfRule>
    <cfRule type="containsText" dxfId="3433" priority="10339" operator="containsText" text="ENTREGADO">
      <formula>NOT(ISERROR(SEARCH("ENTREGADO",#REF!)))</formula>
    </cfRule>
    <cfRule type="containsText" dxfId="3432" priority="10340" operator="containsText" text="PENDIENTE">
      <formula>NOT(ISERROR(SEARCH("PENDIENTE",#REF!)))</formula>
    </cfRule>
    <cfRule type="containsText" dxfId="3431" priority="10341" operator="containsText" text="PENDIENTE">
      <formula>NOT(ISERROR(SEARCH("PENDIENTE",U18)))</formula>
    </cfRule>
    <cfRule type="containsText" dxfId="3430" priority="10338" operator="containsText" text="ENTREGADO">
      <formula>NOT(ISERROR(SEARCH("ENTREGADO",U18)))</formula>
    </cfRule>
    <cfRule type="containsText" dxfId="3429" priority="10343" operator="containsText" text="ENTREGADO">
      <formula>NOT(ISERROR(SEARCH("ENTREGADO",U18)))</formula>
    </cfRule>
  </conditionalFormatting>
  <conditionalFormatting sqref="U19:X19">
    <cfRule type="containsText" dxfId="3428" priority="13547" operator="containsText" text="ENTREGADO">
      <formula>NOT(ISERROR(SEARCH("ENTREGADO",U19)))</formula>
    </cfRule>
    <cfRule type="containsText" dxfId="3427" priority="13552" operator="containsText" text="ENTREGADO">
      <formula>NOT(ISERROR(SEARCH("ENTREGADO",U19)))</formula>
    </cfRule>
    <cfRule type="containsText" dxfId="3426" priority="13551" operator="containsText" text="PRIORIDAD">
      <formula>NOT(ISERROR(SEARCH("PRIORIDAD",U19)))</formula>
    </cfRule>
    <cfRule type="containsText" dxfId="3425" priority="13550" operator="containsText" text="PENDIENTE">
      <formula>NOT(ISERROR(SEARCH("PENDIENTE",U19)))</formula>
    </cfRule>
    <cfRule type="containsText" dxfId="3424" priority="13549" operator="containsText" text="PENDIENTE">
      <formula>NOT(ISERROR(SEARCH("PENDIENTE",#REF!)))</formula>
    </cfRule>
    <cfRule type="containsText" dxfId="3423" priority="13548" operator="containsText" text="ENTREGADO">
      <formula>NOT(ISERROR(SEARCH("ENTREGADO",#REF!)))</formula>
    </cfRule>
  </conditionalFormatting>
  <conditionalFormatting sqref="U20:X20">
    <cfRule type="containsText" dxfId="3422" priority="13519" operator="containsText" text="PRIORIDAD">
      <formula>NOT(ISERROR(SEARCH("PRIORIDAD",U20)))</formula>
    </cfRule>
    <cfRule type="containsText" dxfId="3421" priority="13518" operator="containsText" text="PENDIENTE">
      <formula>NOT(ISERROR(SEARCH("PENDIENTE",U20)))</formula>
    </cfRule>
    <cfRule type="containsText" dxfId="3420" priority="13517" operator="containsText" text="PENDIENTE">
      <formula>NOT(ISERROR(SEARCH("PENDIENTE",#REF!)))</formula>
    </cfRule>
    <cfRule type="containsText" dxfId="3419" priority="13516" operator="containsText" text="ENTREGADO">
      <formula>NOT(ISERROR(SEARCH("ENTREGADO",#REF!)))</formula>
    </cfRule>
    <cfRule type="containsText" dxfId="3418" priority="13515" operator="containsText" text="ENTREGADO">
      <formula>NOT(ISERROR(SEARCH("ENTREGADO",U20)))</formula>
    </cfRule>
  </conditionalFormatting>
  <conditionalFormatting sqref="U21:X21">
    <cfRule type="containsText" dxfId="3417" priority="12667" operator="containsText" text="PENDIENTE">
      <formula>NOT(ISERROR(SEARCH("PENDIENTE",#REF!)))</formula>
    </cfRule>
    <cfRule type="containsText" dxfId="3416" priority="12665" operator="containsText" text="ENTREGADO">
      <formula>NOT(ISERROR(SEARCH("ENTREGADO",U21)))</formula>
    </cfRule>
    <cfRule type="containsText" dxfId="3415" priority="12669" operator="containsText" text="PRIORIDAD">
      <formula>NOT(ISERROR(SEARCH("PRIORIDAD",U21)))</formula>
    </cfRule>
    <cfRule type="containsText" dxfId="3414" priority="12666" operator="containsText" text="ENTREGADO">
      <formula>NOT(ISERROR(SEARCH("ENTREGADO",#REF!)))</formula>
    </cfRule>
    <cfRule type="containsText" dxfId="3413" priority="12668" operator="containsText" text="PENDIENTE">
      <formula>NOT(ISERROR(SEARCH("PENDIENTE",U21)))</formula>
    </cfRule>
  </conditionalFormatting>
  <conditionalFormatting sqref="U22:X22">
    <cfRule type="containsText" dxfId="3412" priority="10741" operator="containsText" text="PENDIENTE">
      <formula>NOT(ISERROR(SEARCH("PENDIENTE",#REF!)))</formula>
    </cfRule>
    <cfRule type="containsText" dxfId="3411" priority="10743" operator="containsText" text="PRIORIDAD">
      <formula>NOT(ISERROR(SEARCH("PRIORIDAD",U22)))</formula>
    </cfRule>
    <cfRule type="containsText" dxfId="3410" priority="10742" operator="containsText" text="PENDIENTE">
      <formula>NOT(ISERROR(SEARCH("PENDIENTE",U22)))</formula>
    </cfRule>
    <cfRule type="containsText" dxfId="3409" priority="10739" operator="containsText" text="ENTREGADO">
      <formula>NOT(ISERROR(SEARCH("ENTREGADO",U22)))</formula>
    </cfRule>
    <cfRule type="containsText" dxfId="3408" priority="10740" operator="containsText" text="ENTREGADO">
      <formula>NOT(ISERROR(SEARCH("ENTREGADO",#REF!)))</formula>
    </cfRule>
  </conditionalFormatting>
  <conditionalFormatting sqref="U23:X23">
    <cfRule type="containsText" dxfId="3407" priority="6889" operator="containsText" text="PENDIENTE">
      <formula>NOT(ISERROR(SEARCH("PENDIENTE",U23)))</formula>
    </cfRule>
    <cfRule type="containsText" dxfId="3406" priority="6890" operator="containsText" text="PRIORIDAD">
      <formula>NOT(ISERROR(SEARCH("PRIORIDAD",U23)))</formula>
    </cfRule>
    <cfRule type="containsText" dxfId="3405" priority="6888" operator="containsText" text="PENDIENTE">
      <formula>NOT(ISERROR(SEARCH("PENDIENTE",#REF!)))</formula>
    </cfRule>
    <cfRule type="containsText" dxfId="3404" priority="6887" operator="containsText" text="ENTREGADO">
      <formula>NOT(ISERROR(SEARCH("ENTREGADO",#REF!)))</formula>
    </cfRule>
  </conditionalFormatting>
  <conditionalFormatting sqref="U23:X24">
    <cfRule type="containsText" dxfId="3403" priority="6886" operator="containsText" text="ENTREGADO">
      <formula>NOT(ISERROR(SEARCH("ENTREGADO",U23)))</formula>
    </cfRule>
  </conditionalFormatting>
  <conditionalFormatting sqref="U25:X25">
    <cfRule type="containsText" dxfId="3402" priority="6375" operator="containsText" text="PRIORIDAD">
      <formula>NOT(ISERROR(SEARCH("PRIORIDAD",U25)))</formula>
    </cfRule>
    <cfRule type="containsText" dxfId="3401" priority="6374" operator="containsText" text="PENDIENTE">
      <formula>NOT(ISERROR(SEARCH("PENDIENTE",U25)))</formula>
    </cfRule>
    <cfRule type="containsText" dxfId="3400" priority="6373" operator="containsText" text="PENDIENTE">
      <formula>NOT(ISERROR(SEARCH("PENDIENTE",#REF!)))</formula>
    </cfRule>
    <cfRule type="containsText" dxfId="3399" priority="6372" operator="containsText" text="ENTREGADO">
      <formula>NOT(ISERROR(SEARCH("ENTREGADO",#REF!)))</formula>
    </cfRule>
  </conditionalFormatting>
  <conditionalFormatting sqref="U25:X26">
    <cfRule type="containsText" dxfId="3398" priority="6332" operator="containsText" text="ENTREGADO">
      <formula>NOT(ISERROR(SEARCH("ENTREGADO",U25)))</formula>
    </cfRule>
  </conditionalFormatting>
  <conditionalFormatting sqref="U26:X26">
    <cfRule type="containsText" dxfId="3397" priority="6335" operator="containsText" text="PENDIENTE">
      <formula>NOT(ISERROR(SEARCH("PENDIENTE",U26)))</formula>
    </cfRule>
    <cfRule type="containsText" dxfId="3396" priority="6334" operator="containsText" text="PENDIENTE">
      <formula>NOT(ISERROR(SEARCH("PENDIENTE",#REF!)))</formula>
    </cfRule>
    <cfRule type="containsText" dxfId="3395" priority="6333" operator="containsText" text="ENTREGADO">
      <formula>NOT(ISERROR(SEARCH("ENTREGADO",#REF!)))</formula>
    </cfRule>
    <cfRule type="containsText" dxfId="3394" priority="6336" operator="containsText" text="PRIORIDAD">
      <formula>NOT(ISERROR(SEARCH("PRIORIDAD",U26)))</formula>
    </cfRule>
  </conditionalFormatting>
  <conditionalFormatting sqref="U51:X51">
    <cfRule type="containsText" dxfId="3393" priority="11357" operator="containsText" text="ENTREGADO">
      <formula>NOT(ISERROR(SEARCH("ENTREGADO",U51)))</formula>
    </cfRule>
    <cfRule type="containsText" dxfId="3392" priority="11356" operator="containsText" text="PRIORIDAD">
      <formula>NOT(ISERROR(SEARCH("PRIORIDAD",U51)))</formula>
    </cfRule>
  </conditionalFormatting>
  <conditionalFormatting sqref="U56:X56">
    <cfRule type="containsText" dxfId="3391" priority="6977" operator="containsText" text="ENTREGADO">
      <formula>NOT(ISERROR(SEARCH("ENTREGADO",U56)))</formula>
    </cfRule>
  </conditionalFormatting>
  <conditionalFormatting sqref="U72:X72">
    <cfRule type="containsText" dxfId="3390" priority="6689" operator="containsText" text="ENTREGADO">
      <formula>NOT(ISERROR(SEARCH("ENTREGADO",U72)))</formula>
    </cfRule>
  </conditionalFormatting>
  <conditionalFormatting sqref="U7:Z7 AB7:AC7">
    <cfRule type="containsText" dxfId="3389" priority="13577" operator="containsText" text="ENTREGADO">
      <formula>NOT(ISERROR(SEARCH("ENTREGADO",U7)))</formula>
    </cfRule>
  </conditionalFormatting>
  <conditionalFormatting sqref="U18:Z18 AB18:AC18">
    <cfRule type="containsText" dxfId="3388" priority="10336" operator="containsText" text="ENTREGADO">
      <formula>NOT(ISERROR(SEARCH("ENTREGADO",U18)))</formula>
    </cfRule>
  </conditionalFormatting>
  <conditionalFormatting sqref="U19:Z19 AB19:AC19">
    <cfRule type="containsText" dxfId="3387" priority="13545" operator="containsText" text="ENTREGADO">
      <formula>NOT(ISERROR(SEARCH("ENTREGADO",U19)))</formula>
    </cfRule>
  </conditionalFormatting>
  <conditionalFormatting sqref="U20:Z20 AB20:AC20">
    <cfRule type="containsText" dxfId="3386" priority="13513" operator="containsText" text="ENTREGADO">
      <formula>NOT(ISERROR(SEARCH("ENTREGADO",U20)))</formula>
    </cfRule>
  </conditionalFormatting>
  <conditionalFormatting sqref="U21:Z21 AB21:AC21">
    <cfRule type="containsText" dxfId="3385" priority="12663" operator="containsText" text="ENTREGADO">
      <formula>NOT(ISERROR(SEARCH("ENTREGADO",U21)))</formula>
    </cfRule>
  </conditionalFormatting>
  <conditionalFormatting sqref="U22:Z22 AB22:AC22">
    <cfRule type="containsText" dxfId="3384" priority="10737" operator="containsText" text="ENTREGADO">
      <formula>NOT(ISERROR(SEARCH("ENTREGADO",U22)))</formula>
    </cfRule>
  </conditionalFormatting>
  <conditionalFormatting sqref="U23:AC23">
    <cfRule type="containsText" dxfId="3383" priority="6885" operator="containsText" text="ENTREGADO">
      <formula>NOT(ISERROR(SEARCH("ENTREGADO",U23)))</formula>
    </cfRule>
  </conditionalFormatting>
  <conditionalFormatting sqref="V33:W33 Y33:AL33 AN33:BC33">
    <cfRule type="containsText" dxfId="3382" priority="5964" operator="containsText" text="PENDIENTE">
      <formula>NOT(ISERROR(SEARCH("PENDIENTE",#REF!)))</formula>
    </cfRule>
  </conditionalFormatting>
  <conditionalFormatting sqref="V27:X27 S27:T27">
    <cfRule type="containsText" dxfId="3381" priority="12157" operator="containsText" text="ENTREGADO">
      <formula>NOT(ISERROR(SEARCH("ENTREGADO",S27)))</formula>
    </cfRule>
  </conditionalFormatting>
  <conditionalFormatting sqref="V30:X30 T30 BH30:XFD30">
    <cfRule type="containsText" dxfId="3380" priority="19005" operator="containsText" text="ENTREGADO">
      <formula>NOT(ISERROR(SEARCH("ENTREGADO",T30)))</formula>
    </cfRule>
  </conditionalFormatting>
  <conditionalFormatting sqref="V39:X39 S39:T39">
    <cfRule type="containsText" dxfId="3379" priority="4134" operator="containsText" text="ENTREGADO">
      <formula>NOT(ISERROR(SEARCH("ENTREGADO",S39)))</formula>
    </cfRule>
  </conditionalFormatting>
  <conditionalFormatting sqref="V39:X39">
    <cfRule type="containsText" dxfId="3378" priority="4133" operator="containsText" text="PENDIENTE">
      <formula>NOT(ISERROR(SEARCH("PENDIENTE",V39)))</formula>
    </cfRule>
  </conditionalFormatting>
  <conditionalFormatting sqref="V50:X50 AD50:AG50 AI50:AL50 AN50:AO50 AR50:BA50">
    <cfRule type="containsText" dxfId="3377" priority="9184" operator="containsText" text="ENTREGADO">
      <formula>NOT(ISERROR(SEARCH("ENTREGADO",#REF!)))</formula>
    </cfRule>
  </conditionalFormatting>
  <conditionalFormatting sqref="V50:X50">
    <cfRule type="containsText" dxfId="3376" priority="9183" operator="containsText" text="ENTREGADO">
      <formula>NOT(ISERROR(SEARCH("ENTREGADO",V50)))</formula>
    </cfRule>
  </conditionalFormatting>
  <conditionalFormatting sqref="V51:X51 AD51:AG51 AI51:AL51 AN51:AO51 AR51:BA51 BC51 BH51:XFD51 A51">
    <cfRule type="containsText" dxfId="3375" priority="11409" operator="containsText" text="PENDIENTE">
      <formula>NOT(ISERROR(SEARCH("PENDIENTE",A51)))</formula>
    </cfRule>
  </conditionalFormatting>
  <conditionalFormatting sqref="V51:X51 AD51:AG51 AI51:AL51 AN51:AO51 AR51:BA51 BC51 BH51:XFD51">
    <cfRule type="containsText" dxfId="3374" priority="11407" operator="containsText" text="ENTREGADO">
      <formula>NOT(ISERROR(SEARCH("ENTREGADO",V51)))</formula>
    </cfRule>
  </conditionalFormatting>
  <conditionalFormatting sqref="V51:X51 AD51:AG51 AI51:AL51 AN51:AO51 AR51:BA51">
    <cfRule type="containsText" dxfId="3373" priority="11383" operator="containsText" text="ENTREGADO">
      <formula>NOT(ISERROR(SEARCH("ENTREGADO",#REF!)))</formula>
    </cfRule>
  </conditionalFormatting>
  <conditionalFormatting sqref="V51:X51 AD51:AG51 BC51 BH51:XFD51 A51 AI51:AL51 AN51:AO51 AR51:BA51">
    <cfRule type="containsText" dxfId="3372" priority="11408" operator="containsText" text="PENDIENTE">
      <formula>NOT(ISERROR(SEARCH("PENDIENTE",#REF!)))</formula>
    </cfRule>
  </conditionalFormatting>
  <conditionalFormatting sqref="V52:X53 AD52:AG53 AI52:AL53 AN52:AO53 AR52:BA53">
    <cfRule type="containsText" dxfId="3371" priority="11096" operator="containsText" text="ENTREGADO">
      <formula>NOT(ISERROR(SEARCH("ENTREGADO",#REF!)))</formula>
    </cfRule>
  </conditionalFormatting>
  <conditionalFormatting sqref="V55:X55 AD55:AG55 AI55:AL55 AN55:AO55 AR55:BA55">
    <cfRule type="containsText" dxfId="3370" priority="622" operator="containsText" text="ENTREGADO">
      <formula>NOT(ISERROR(SEARCH("ENTREGADO",#REF!)))</formula>
    </cfRule>
  </conditionalFormatting>
  <conditionalFormatting sqref="V56:X56 AD56:AG56 AI56:AL56 AN56:AO56 AR56:BA56">
    <cfRule type="containsText" dxfId="3369" priority="6984" operator="containsText" text="ENTREGADO">
      <formula>NOT(ISERROR(SEARCH("ENTREGADO",#REF!)))</formula>
    </cfRule>
  </conditionalFormatting>
  <conditionalFormatting sqref="V4:Z4 AB4:AF4">
    <cfRule type="containsText" dxfId="3368" priority="18721" operator="containsText" text="ENTREGADO">
      <formula>NOT(ISERROR(SEARCH("ENTREGADO",V4)))</formula>
    </cfRule>
    <cfRule type="containsText" dxfId="3367" priority="18745" operator="containsText" text="PENDIENTE">
      <formula>NOT(ISERROR(SEARCH("PENDIENTE",V4)))</formula>
    </cfRule>
  </conditionalFormatting>
  <conditionalFormatting sqref="V30:Z30 AB30:AC30">
    <cfRule type="containsText" dxfId="3366" priority="18970" operator="containsText" text="PENDIENTE">
      <formula>NOT(ISERROR(SEARCH("PENDIENTE",V30)))</formula>
    </cfRule>
  </conditionalFormatting>
  <conditionalFormatting sqref="V31:Z31 AB31:AG31 AI31:AL31 AN31:AO31 AR31:AW31 AY31:BA31">
    <cfRule type="containsText" dxfId="3365" priority="17416" operator="containsText" text="ENTREGADO">
      <formula>NOT(ISERROR(SEARCH("ENTREGADO",V31)))</formula>
    </cfRule>
    <cfRule type="containsText" dxfId="3364" priority="17412" operator="containsText" text="ENTREGADO">
      <formula>NOT(ISERROR(SEARCH("ENTREGADO",#REF!)))</formula>
    </cfRule>
  </conditionalFormatting>
  <conditionalFormatting sqref="V31:Z31 AB31:AG31 AI31:AL31 AN31:AO31">
    <cfRule type="containsText" dxfId="3363" priority="17410" operator="containsText" text="PRIORIDAD">
      <formula>NOT(ISERROR(SEARCH("PRIORIDAD",V31)))</formula>
    </cfRule>
  </conditionalFormatting>
  <conditionalFormatting sqref="V35:Z35 AB35:AG35 AI35:AL35 AN35:AO35 AR35:BA35">
    <cfRule type="containsText" dxfId="3362" priority="17271" operator="containsText" text="ENTREGADO">
      <formula>NOT(ISERROR(SEARCH("ENTREGADO",#REF!)))</formula>
    </cfRule>
  </conditionalFormatting>
  <conditionalFormatting sqref="V35:Z35 AB35:AG35 AI35:AL35 AN35:AO35">
    <cfRule type="containsText" dxfId="3361" priority="17270" operator="containsText" text="ENTREGADO">
      <formula>NOT(ISERROR(SEARCH("ENTREGADO",V35)))</formula>
    </cfRule>
    <cfRule type="containsText" dxfId="3360" priority="17264" operator="containsText" text="PRIORIDAD">
      <formula>NOT(ISERROR(SEARCH("PRIORIDAD",V35)))</formula>
    </cfRule>
  </conditionalFormatting>
  <conditionalFormatting sqref="V36:Z36 AB36:AG36 AI36:AO36 AR36:BA36">
    <cfRule type="containsText" dxfId="3359" priority="17146" operator="containsText" text="ENTREGADO">
      <formula>NOT(ISERROR(SEARCH("ENTREGADO",#REF!)))</formula>
    </cfRule>
  </conditionalFormatting>
  <conditionalFormatting sqref="V36:Z36 AB36:AG36 AI36:AO36">
    <cfRule type="containsText" dxfId="3358" priority="17150" operator="containsText" text="ENTREGADO">
      <formula>NOT(ISERROR(SEARCH("ENTREGADO",V36)))</formula>
    </cfRule>
    <cfRule type="containsText" dxfId="3357" priority="17144" operator="containsText" text="PRIORIDAD">
      <formula>NOT(ISERROR(SEARCH("PRIORIDAD",V36)))</formula>
    </cfRule>
  </conditionalFormatting>
  <conditionalFormatting sqref="V37:Z37 AB37:AG37 AI37:AL37 AN37:AO37 AR37:BA37">
    <cfRule type="containsText" dxfId="3356" priority="15727" operator="containsText" text="ENTREGADO">
      <formula>NOT(ISERROR(SEARCH("ENTREGADO",#REF!)))</formula>
    </cfRule>
  </conditionalFormatting>
  <conditionalFormatting sqref="V37:Z37 AB37:AG37 AR35:BA37 AI37:AL37 AN37:AO37">
    <cfRule type="containsText" dxfId="3355" priority="15731" operator="containsText" text="ENTREGADO">
      <formula>NOT(ISERROR(SEARCH("ENTREGADO",V35)))</formula>
    </cfRule>
    <cfRule type="containsText" dxfId="3354" priority="15725" operator="containsText" text="PRIORIDAD">
      <formula>NOT(ISERROR(SEARCH("PRIORIDAD",V35)))</formula>
    </cfRule>
  </conditionalFormatting>
  <conditionalFormatting sqref="V38:Z38 AB38:AC38">
    <cfRule type="containsText" dxfId="3353" priority="15596" operator="containsText" text="PRIORIDAD">
      <formula>NOT(ISERROR(SEARCH("PRIORIDAD",V38)))</formula>
    </cfRule>
    <cfRule type="containsText" dxfId="3352" priority="15602" operator="containsText" text="ENTREGADO">
      <formula>NOT(ISERROR(SEARCH("ENTREGADO",V38)))</formula>
    </cfRule>
    <cfRule type="containsText" dxfId="3351" priority="15598" operator="containsText" text="ENTREGADO">
      <formula>NOT(ISERROR(SEARCH("ENTREGADO",#REF!)))</formula>
    </cfRule>
  </conditionalFormatting>
  <conditionalFormatting sqref="V42:Z44 AB42:AC44">
    <cfRule type="containsText" dxfId="3350" priority="12824" operator="containsText" text="ENTREGADO">
      <formula>NOT(ISERROR(SEARCH("ENTREGADO",V42)))</formula>
    </cfRule>
    <cfRule type="containsText" dxfId="3349" priority="12818" operator="containsText" text="PRIORIDAD">
      <formula>NOT(ISERROR(SEARCH("PRIORIDAD",V42)))</formula>
    </cfRule>
    <cfRule type="containsText" dxfId="3348" priority="12825" operator="containsText" text="ENTREGADO">
      <formula>NOT(ISERROR(SEARCH("ENTREGADO",#REF!)))</formula>
    </cfRule>
  </conditionalFormatting>
  <conditionalFormatting sqref="V45:Z45 AB45:AG45 AI45:AL45 AN45:AO45 AR45:BA45">
    <cfRule type="containsText" dxfId="3347" priority="11660" operator="containsText" text="ENTREGADO">
      <formula>NOT(ISERROR(SEARCH("ENTREGADO",#REF!)))</formula>
    </cfRule>
  </conditionalFormatting>
  <conditionalFormatting sqref="V45:Z45 AB45:AG45">
    <cfRule type="containsText" dxfId="3346" priority="11658" operator="containsText" text="PRIORIDAD">
      <formula>NOT(ISERROR(SEARCH("PRIORIDAD",V45)))</formula>
    </cfRule>
    <cfRule type="containsText" dxfId="3345" priority="11664" operator="containsText" text="ENTREGADO">
      <formula>NOT(ISERROR(SEARCH("ENTREGADO",V45)))</formula>
    </cfRule>
  </conditionalFormatting>
  <conditionalFormatting sqref="V46:Z49 AB46:AG49 AI46:AL49 AN46:AO49 AR46:BA49">
    <cfRule type="containsText" dxfId="3344" priority="4403" operator="containsText" text="ENTREGADO">
      <formula>NOT(ISERROR(SEARCH("ENTREGADO",#REF!)))</formula>
    </cfRule>
  </conditionalFormatting>
  <conditionalFormatting sqref="V46:Z49 AB46:AG49">
    <cfRule type="containsText" dxfId="3343" priority="4407" operator="containsText" text="ENTREGADO">
      <formula>NOT(ISERROR(SEARCH("ENTREGADO",V46)))</formula>
    </cfRule>
    <cfRule type="containsText" dxfId="3342" priority="4401" operator="containsText" text="PRIORIDAD">
      <formula>NOT(ISERROR(SEARCH("PRIORIDAD",V46)))</formula>
    </cfRule>
  </conditionalFormatting>
  <conditionalFormatting sqref="V59:Z59 AB59:AC59">
    <cfRule type="containsText" dxfId="3341" priority="3488" operator="containsText" text="PRIORIDAD">
      <formula>NOT(ISERROR(SEARCH("PRIORIDAD",V59)))</formula>
    </cfRule>
  </conditionalFormatting>
  <conditionalFormatting sqref="V60:Z60 AB60:AC60">
    <cfRule type="containsText" dxfId="3340" priority="4655" operator="containsText" text="PRIORIDAD">
      <formula>NOT(ISERROR(SEARCH("PRIORIDAD",V60)))</formula>
    </cfRule>
  </conditionalFormatting>
  <conditionalFormatting sqref="V61:Z61 AB61:AC61">
    <cfRule type="containsText" dxfId="3339" priority="4516" operator="containsText" text="PRIORIDAD">
      <formula>NOT(ISERROR(SEARCH("PRIORIDAD",V61)))</formula>
    </cfRule>
  </conditionalFormatting>
  <conditionalFormatting sqref="V71:Z71 AB71:AC71">
    <cfRule type="containsText" dxfId="3338" priority="9789" operator="containsText" text="ENTREGADO">
      <formula>NOT(ISERROR(SEARCH("ENTREGADO",V71)))</formula>
    </cfRule>
  </conditionalFormatting>
  <conditionalFormatting sqref="V73:Z73 AB73:AF73">
    <cfRule type="containsText" dxfId="3337" priority="6580" operator="containsText" text="ENTREGADO">
      <formula>NOT(ISERROR(SEARCH("ENTREGADO",V73)))</formula>
    </cfRule>
  </conditionalFormatting>
  <conditionalFormatting sqref="V74:Z74 AB74:AF74">
    <cfRule type="containsText" dxfId="3336" priority="6452" operator="containsText" text="ENTREGADO">
      <formula>NOT(ISERROR(SEARCH("ENTREGADO",V74)))</formula>
    </cfRule>
  </conditionalFormatting>
  <conditionalFormatting sqref="X3">
    <cfRule type="containsText" dxfId="3335" priority="6069" operator="containsText" text="PRIORIDAD">
      <formula>NOT(ISERROR(SEARCH("PRIORIDAD",X3)))</formula>
    </cfRule>
    <cfRule type="containsText" dxfId="3334" priority="6068" operator="containsText" text="ENTREGADO">
      <formula>NOT(ISERROR(SEARCH("ENTREGADO",X3)))</formula>
    </cfRule>
    <cfRule type="containsText" dxfId="3333" priority="6067" operator="containsText" text="PENDIENTE">
      <formula>NOT(ISERROR(SEARCH("PENDIENTE",#REF!)))</formula>
    </cfRule>
    <cfRule type="containsText" dxfId="3332" priority="6070" operator="containsText" text="ENTREGADO">
      <formula>NOT(ISERROR(SEARCH("ENTREGADO",#REF!)))</formula>
    </cfRule>
    <cfRule type="containsText" dxfId="3331" priority="6075" operator="containsText" text="ENTREGADO">
      <formula>NOT(ISERROR(SEARCH("ENTREGADO",#REF!)))</formula>
    </cfRule>
    <cfRule type="containsText" dxfId="3330" priority="6074" operator="containsText" text="ENTREGADO">
      <formula>NOT(ISERROR(SEARCH("ENTREGADO",X3)))</formula>
    </cfRule>
    <cfRule type="containsText" dxfId="3329" priority="6065" operator="containsText" text="ENTREGADO">
      <formula>NOT(ISERROR(SEARCH("ENTREGADO",X3)))</formula>
    </cfRule>
    <cfRule type="containsText" dxfId="3328" priority="6073" operator="containsText" text="PENDIENTE">
      <formula>NOT(ISERROR(SEARCH("PENDIENTE",X3)))</formula>
    </cfRule>
    <cfRule type="containsText" dxfId="3327" priority="6076" operator="containsText" text="PENDIENTE">
      <formula>NOT(ISERROR(SEARCH("PENDIENTE",X3)))</formula>
    </cfRule>
    <cfRule type="containsText" dxfId="3326" priority="6072" operator="containsText" text="PENDIENTE">
      <formula>NOT(ISERROR(SEARCH("PENDIENTE",#REF!)))</formula>
    </cfRule>
    <cfRule type="containsText" dxfId="3325" priority="6071" operator="containsText" text="ENTREGADO">
      <formula>NOT(ISERROR(SEARCH("ENTREGADO",X3)))</formula>
    </cfRule>
    <cfRule type="containsText" dxfId="3324" priority="6066" operator="containsText" text="PENDIENTE">
      <formula>NOT(ISERROR(SEARCH("PENDIENTE",X3)))</formula>
    </cfRule>
  </conditionalFormatting>
  <conditionalFormatting sqref="X33">
    <cfRule type="containsText" dxfId="3323" priority="5875" operator="containsText" text="ENTREGADO">
      <formula>NOT(ISERROR(SEARCH("ENTREGADO",X33)))</formula>
    </cfRule>
    <cfRule type="containsText" dxfId="3322" priority="5876" operator="containsText" text="PENDIENTE">
      <formula>NOT(ISERROR(SEARCH("PENDIENTE",X33)))</formula>
    </cfRule>
    <cfRule type="containsText" dxfId="3321" priority="5885" operator="containsText" text="ENTREGADO">
      <formula>NOT(ISERROR(SEARCH("ENTREGADO",#REF!)))</formula>
    </cfRule>
    <cfRule type="containsText" dxfId="3320" priority="5884" operator="containsText" text="ENTREGADO">
      <formula>NOT(ISERROR(SEARCH("ENTREGADO",X33)))</formula>
    </cfRule>
    <cfRule type="containsText" dxfId="3319" priority="5882" operator="containsText" text="PENDIENTE">
      <formula>NOT(ISERROR(SEARCH("PENDIENTE",#REF!)))</formula>
    </cfRule>
    <cfRule type="containsText" dxfId="3318" priority="5877" operator="containsText" text="PENDIENTE">
      <formula>NOT(ISERROR(SEARCH("PENDIENTE",#REF!)))</formula>
    </cfRule>
    <cfRule type="containsText" dxfId="3317" priority="5883" operator="containsText" text="PENDIENTE">
      <formula>NOT(ISERROR(SEARCH("PENDIENTE",X33)))</formula>
    </cfRule>
    <cfRule type="containsText" dxfId="3316" priority="5881" operator="containsText" text="ENTREGADO">
      <formula>NOT(ISERROR(SEARCH("ENTREGADO",X33)))</formula>
    </cfRule>
    <cfRule type="containsText" dxfId="3315" priority="5880" operator="containsText" text="ENTREGADO">
      <formula>NOT(ISERROR(SEARCH("ENTREGADO",#REF!)))</formula>
    </cfRule>
    <cfRule type="containsText" dxfId="3314" priority="5879" operator="containsText" text="PRIORIDAD">
      <formula>NOT(ISERROR(SEARCH("PRIORIDAD",X33)))</formula>
    </cfRule>
    <cfRule type="containsText" dxfId="3313" priority="5878" operator="containsText" text="ENTREGADO">
      <formula>NOT(ISERROR(SEARCH("ENTREGADO",X33)))</formula>
    </cfRule>
    <cfRule type="containsText" dxfId="3312" priority="5886" operator="containsText" text="PENDIENTE">
      <formula>NOT(ISERROR(SEARCH("PENDIENTE",X33)))</formula>
    </cfRule>
  </conditionalFormatting>
  <conditionalFormatting sqref="Y3:Z4 AB4:AC4">
    <cfRule type="containsText" dxfId="3311" priority="18724" operator="containsText" text="ENTREGADO">
      <formula>NOT(ISERROR(SEARCH("ENTREGADO",Y3)))</formula>
    </cfRule>
  </conditionalFormatting>
  <conditionalFormatting sqref="Y4:Z4 AB4:AC4">
    <cfRule type="containsText" dxfId="3310" priority="18718" operator="containsText" text="PRIORIDAD">
      <formula>NOT(ISERROR(SEARCH("PRIORIDAD",Y4)))</formula>
    </cfRule>
    <cfRule type="containsText" dxfId="3309" priority="18719" operator="containsText" text="ENTREGADO">
      <formula>NOT(ISERROR(SEARCH("ENTREGADO",Y4)))</formula>
    </cfRule>
    <cfRule type="containsText" dxfId="3308" priority="18720" operator="containsText" text="ENTREGADO">
      <formula>NOT(ISERROR(SEARCH("ENTREGADO",#REF!)))</formula>
    </cfRule>
    <cfRule type="containsText" dxfId="3307" priority="18666" operator="containsText" text="ENTREGADO">
      <formula>NOT(ISERROR(SEARCH("ENTREGADO",#REF!)))</formula>
    </cfRule>
    <cfRule type="containsText" dxfId="3306" priority="18722" operator="containsText" text="PENDIENTE">
      <formula>NOT(ISERROR(SEARCH("PENDIENTE",#REF!)))</formula>
    </cfRule>
    <cfRule type="containsText" dxfId="3305" priority="18723" operator="containsText" text="PENDIENTE">
      <formula>NOT(ISERROR(SEARCH("PENDIENTE",Y4)))</formula>
    </cfRule>
    <cfRule type="containsText" dxfId="3304" priority="18667" operator="containsText" text="ENTREGADO">
      <formula>NOT(ISERROR(SEARCH("ENTREGADO",Y4)))</formula>
    </cfRule>
    <cfRule type="containsText" dxfId="3303" priority="18725" operator="containsText" text="ENTREGADO">
      <formula>NOT(ISERROR(SEARCH("ENTREGADO",#REF!)))</formula>
    </cfRule>
    <cfRule type="containsText" dxfId="3302" priority="18668" operator="containsText" text="PENDIENTE">
      <formula>NOT(ISERROR(SEARCH("PENDIENTE",#REF!)))</formula>
    </cfRule>
    <cfRule type="containsText" dxfId="3301" priority="18669" operator="containsText" text="PENDIENTE">
      <formula>NOT(ISERROR(SEARCH("PENDIENTE",Y4)))</formula>
    </cfRule>
    <cfRule type="containsText" dxfId="3300" priority="18670" operator="containsText" text="ENTREGADO">
      <formula>NOT(ISERROR(SEARCH("ENTREGADO",Y4)))</formula>
    </cfRule>
    <cfRule type="containsText" dxfId="3299" priority="18672" operator="containsText" text="ENTREGADO">
      <formula>NOT(ISERROR(SEARCH("ENTREGADO",#REF!)))</formula>
    </cfRule>
    <cfRule type="containsText" dxfId="3298" priority="18673" operator="containsText" text="ENTREGADO">
      <formula>NOT(ISERROR(SEARCH("ENTREGADO",Y4)))</formula>
    </cfRule>
    <cfRule type="containsText" dxfId="3297" priority="18674" operator="containsText" text="PENDIENTE">
      <formula>NOT(ISERROR(SEARCH("PENDIENTE",Y4)))</formula>
    </cfRule>
    <cfRule type="containsText" dxfId="3296" priority="18675" operator="containsText" text="ENTREGADO">
      <formula>NOT(ISERROR(SEARCH("ENTREGADO",Y4)))</formula>
    </cfRule>
    <cfRule type="containsText" dxfId="3295" priority="18676" operator="containsText" text="PENDIENTE">
      <formula>NOT(ISERROR(SEARCH("PENDIENTE",#REF!)))</formula>
    </cfRule>
    <cfRule type="containsText" dxfId="3294" priority="18663" operator="containsText" text="ENTREGADO">
      <formula>NOT(ISERROR(SEARCH("ENTREGADO",Y4)))</formula>
    </cfRule>
    <cfRule type="containsText" dxfId="3293" priority="18677" operator="containsText" text="PRIORIDAD">
      <formula>NOT(ISERROR(SEARCH("PRIORIDAD",Y4)))</formula>
    </cfRule>
    <cfRule type="containsText" dxfId="3292" priority="18678" operator="containsText" text="ENTREGADO">
      <formula>NOT(ISERROR(SEARCH("ENTREGADO",Y4)))</formula>
    </cfRule>
    <cfRule type="containsText" dxfId="3291" priority="18679" operator="containsText" text="ENTREGADO">
      <formula>NOT(ISERROR(SEARCH("ENTREGADO",Y4)))</formula>
    </cfRule>
    <cfRule type="containsText" dxfId="3290" priority="18680" operator="containsText" text="PENDIENTE">
      <formula>NOT(ISERROR(SEARCH("PENDIENTE",Y4)))</formula>
    </cfRule>
    <cfRule type="containsText" dxfId="3289" priority="18681" operator="containsText" text="ENTREGADO">
      <formula>NOT(ISERROR(SEARCH("ENTREGADO",Y4)))</formula>
    </cfRule>
    <cfRule type="containsText" dxfId="3288" priority="18682" operator="containsText" text="ENTREGADO">
      <formula>NOT(ISERROR(SEARCH("ENTREGADO",Y4)))</formula>
    </cfRule>
    <cfRule type="containsText" dxfId="3287" priority="18683" operator="containsText" text="PENDIENTE">
      <formula>NOT(ISERROR(SEARCH("PENDIENTE",#REF!)))</formula>
    </cfRule>
    <cfRule type="containsText" dxfId="3286" priority="18684" operator="containsText" text="PENDIENTE">
      <formula>NOT(ISERROR(SEARCH("PENDIENTE",Y4)))</formula>
    </cfRule>
    <cfRule type="containsText" dxfId="3285" priority="18685" operator="containsText" text="ENTREGADO">
      <formula>NOT(ISERROR(SEARCH("ENTREGADO",Y4)))</formula>
    </cfRule>
    <cfRule type="containsText" dxfId="3284" priority="18717" operator="containsText" text="ENTREGADO">
      <formula>NOT(ISERROR(SEARCH("ENTREGADO",Y4)))</formula>
    </cfRule>
    <cfRule type="containsText" dxfId="3283" priority="18686" operator="containsText" text="PRIORIDAD">
      <formula>NOT(ISERROR(SEARCH("PRIORIDAD",Y4)))</formula>
    </cfRule>
    <cfRule type="containsText" dxfId="3282" priority="18687" operator="containsText" text="ENTREGADO">
      <formula>NOT(ISERROR(SEARCH("ENTREGADO",Y4)))</formula>
    </cfRule>
    <cfRule type="containsText" dxfId="3281" priority="18688" operator="containsText" text="ENTREGADO">
      <formula>NOT(ISERROR(SEARCH("ENTREGADO",#REF!)))</formula>
    </cfRule>
    <cfRule type="containsText" dxfId="3280" priority="18689" operator="containsText" text="ENTREGADO">
      <formula>NOT(ISERROR(SEARCH("ENTREGADO",Y4)))</formula>
    </cfRule>
    <cfRule type="containsText" dxfId="3279" priority="18690" operator="containsText" text="PENDIENTE">
      <formula>NOT(ISERROR(SEARCH("PENDIENTE",#REF!)))</formula>
    </cfRule>
    <cfRule type="containsText" dxfId="3278" priority="18691" operator="containsText" text="PENDIENTE">
      <formula>NOT(ISERROR(SEARCH("PENDIENTE",Y4)))</formula>
    </cfRule>
    <cfRule type="containsText" dxfId="3277" priority="18692" operator="containsText" text="ENTREGADO">
      <formula>NOT(ISERROR(SEARCH("ENTREGADO",Y4)))</formula>
    </cfRule>
    <cfRule type="containsText" dxfId="3276" priority="18693" operator="containsText" text="ENTREGADO">
      <formula>NOT(ISERROR(SEARCH("ENTREGADO",#REF!)))</formula>
    </cfRule>
    <cfRule type="containsText" dxfId="3275" priority="18715" operator="containsText" text="PENDIENTE">
      <formula>NOT(ISERROR(SEARCH("PENDIENTE",Y4)))</formula>
    </cfRule>
    <cfRule type="containsText" dxfId="3274" priority="18716" operator="containsText" text="PENDIENTE">
      <formula>NOT(ISERROR(SEARCH("PENDIENTE",#REF!)))</formula>
    </cfRule>
    <cfRule type="containsText" dxfId="3273" priority="18671" operator="containsText" text="ENTREGADO">
      <formula>NOT(ISERROR(SEARCH("ENTREGADO",#REF!)))</formula>
    </cfRule>
    <cfRule type="containsText" dxfId="3272" priority="18664" operator="containsText" text="PRIORIDAD">
      <formula>NOT(ISERROR(SEARCH("PRIORIDAD",Y4)))</formula>
    </cfRule>
    <cfRule type="containsText" dxfId="3271" priority="18665" operator="containsText" text="ENTREGADO">
      <formula>NOT(ISERROR(SEARCH("ENTREGADO",Y4)))</formula>
    </cfRule>
    <cfRule type="containsText" dxfId="3270" priority="18661" operator="containsText" text="PENDIENTE">
      <formula>NOT(ISERROR(SEARCH("PENDIENTE",#REF!)))</formula>
    </cfRule>
  </conditionalFormatting>
  <conditionalFormatting sqref="Y4:Z5 AB4:AC5">
    <cfRule type="containsText" dxfId="3269" priority="15878" operator="containsText" text="PENDIENTE">
      <formula>NOT(ISERROR(SEARCH("PENDIENTE",Y4)))</formula>
    </cfRule>
    <cfRule type="containsText" dxfId="3268" priority="15857" operator="containsText" text="ENTREGADO">
      <formula>NOT(ISERROR(SEARCH("ENTREGADO",Y4)))</formula>
    </cfRule>
  </conditionalFormatting>
  <conditionalFormatting sqref="Y5:Z5 AB5:AC5">
    <cfRule type="containsText" dxfId="3267" priority="15879" operator="containsText" text="PRIORIDAD">
      <formula>NOT(ISERROR(SEARCH("PRIORIDAD",Y5)))</formula>
    </cfRule>
    <cfRule type="containsText" dxfId="3266" priority="15877" operator="containsText" text="PENDIENTE">
      <formula>NOT(ISERROR(SEARCH("PENDIENTE",#REF!)))</formula>
    </cfRule>
    <cfRule type="containsText" dxfId="3265" priority="15865" operator="containsText" text="ENTREGADO">
      <formula>NOT(ISERROR(SEARCH("ENTREGADO",#REF!)))</formula>
    </cfRule>
  </conditionalFormatting>
  <conditionalFormatting sqref="Y5:Z6 AB5:AC6">
    <cfRule type="containsText" dxfId="3264" priority="14432" operator="containsText" text="ENTREGADO">
      <formula>NOT(ISERROR(SEARCH("ENTREGADO",Y5)))</formula>
    </cfRule>
  </conditionalFormatting>
  <conditionalFormatting sqref="Y6:Z6 AB6:AC6">
    <cfRule type="containsText" dxfId="3263" priority="14430" operator="containsText" text="PENDIENTE">
      <formula>NOT(ISERROR(SEARCH("PENDIENTE",Y6)))</formula>
    </cfRule>
    <cfRule type="containsText" dxfId="3262" priority="14429" operator="containsText" text="PENDIENTE">
      <formula>NOT(ISERROR(SEARCH("PENDIENTE",#REF!)))</formula>
    </cfRule>
    <cfRule type="containsText" dxfId="3261" priority="14431" operator="containsText" text="PRIORIDAD">
      <formula>NOT(ISERROR(SEARCH("PRIORIDAD",Y6)))</formula>
    </cfRule>
  </conditionalFormatting>
  <conditionalFormatting sqref="Y7:Z7 AB7:AC7">
    <cfRule type="containsText" dxfId="3260" priority="13562" operator="containsText" text="ENTREGADO">
      <formula>NOT(ISERROR(SEARCH("ENTREGADO",#REF!)))</formula>
    </cfRule>
    <cfRule type="containsText" dxfId="3259" priority="13576" operator="containsText" text="PRIORIDAD">
      <formula>NOT(ISERROR(SEARCH("PRIORIDAD",Y7)))</formula>
    </cfRule>
    <cfRule type="containsText" dxfId="3258" priority="13575" operator="containsText" text="PENDIENTE">
      <formula>NOT(ISERROR(SEARCH("PENDIENTE",Y7)))</formula>
    </cfRule>
    <cfRule type="containsText" dxfId="3257" priority="13574" operator="containsText" text="PENDIENTE">
      <formula>NOT(ISERROR(SEARCH("PENDIENTE",#REF!)))</formula>
    </cfRule>
  </conditionalFormatting>
  <conditionalFormatting sqref="Y8:Z8 AB8:AC8">
    <cfRule type="containsText" dxfId="3256" priority="13624" operator="containsText" text="PRIORIDAD">
      <formula>NOT(ISERROR(SEARCH("PRIORIDAD",Y8)))</formula>
    </cfRule>
    <cfRule type="containsText" dxfId="3255" priority="13623" operator="containsText" text="PENDIENTE">
      <formula>NOT(ISERROR(SEARCH("PENDIENTE",Y8)))</formula>
    </cfRule>
    <cfRule type="containsText" dxfId="3254" priority="13622" operator="containsText" text="PENDIENTE">
      <formula>NOT(ISERROR(SEARCH("PENDIENTE",#REF!)))</formula>
    </cfRule>
  </conditionalFormatting>
  <conditionalFormatting sqref="Y9:Z17 AB9:AC17">
    <cfRule type="containsText" dxfId="3253" priority="6196" operator="containsText" text="ENTREGADO">
      <formula>NOT(ISERROR(SEARCH("ENTREGADO",Y9)))</formula>
    </cfRule>
    <cfRule type="containsText" dxfId="3252" priority="6204" operator="containsText" text="ENTREGADO">
      <formula>NOT(ISERROR(SEARCH("ENTREGADO",#REF!)))</formula>
    </cfRule>
  </conditionalFormatting>
  <conditionalFormatting sqref="Y18:Z18 AB18:AC18">
    <cfRule type="containsText" dxfId="3251" priority="10333" operator="containsText" text="PENDIENTE">
      <formula>NOT(ISERROR(SEARCH("PENDIENTE",#REF!)))</formula>
    </cfRule>
    <cfRule type="containsText" dxfId="3250" priority="10335" operator="containsText" text="PRIORIDAD">
      <formula>NOT(ISERROR(SEARCH("PRIORIDAD",Y18)))</formula>
    </cfRule>
    <cfRule type="containsText" dxfId="3249" priority="10334" operator="containsText" text="PENDIENTE">
      <formula>NOT(ISERROR(SEARCH("PENDIENTE",Y18)))</formula>
    </cfRule>
  </conditionalFormatting>
  <conditionalFormatting sqref="Y18:Z22 AB18:AC22">
    <cfRule type="containsText" dxfId="3248" priority="10313" operator="containsText" text="ENTREGADO">
      <formula>NOT(ISERROR(SEARCH("ENTREGADO",Y18)))</formula>
    </cfRule>
  </conditionalFormatting>
  <conditionalFormatting sqref="Y18:Z26 AB18:AC26">
    <cfRule type="containsText" dxfId="3247" priority="6274" operator="containsText" text="ENTREGADO">
      <formula>NOT(ISERROR(SEARCH("ENTREGADO",Y18)))</formula>
    </cfRule>
  </conditionalFormatting>
  <conditionalFormatting sqref="Y19:Z19 AB19:AC19">
    <cfRule type="containsText" dxfId="3246" priority="13544" operator="containsText" text="PRIORIDAD">
      <formula>NOT(ISERROR(SEARCH("PRIORIDAD",Y19)))</formula>
    </cfRule>
    <cfRule type="containsText" dxfId="3245" priority="13543" operator="containsText" text="PENDIENTE">
      <formula>NOT(ISERROR(SEARCH("PENDIENTE",Y19)))</formula>
    </cfRule>
    <cfRule type="containsText" dxfId="3244" priority="13542" operator="containsText" text="PENDIENTE">
      <formula>NOT(ISERROR(SEARCH("PENDIENTE",#REF!)))</formula>
    </cfRule>
  </conditionalFormatting>
  <conditionalFormatting sqref="Y20:Z20 AB20:AC20">
    <cfRule type="containsText" dxfId="3243" priority="13510" operator="containsText" text="PENDIENTE">
      <formula>NOT(ISERROR(SEARCH("PENDIENTE",#REF!)))</formula>
    </cfRule>
    <cfRule type="containsText" dxfId="3242" priority="13511" operator="containsText" text="PENDIENTE">
      <formula>NOT(ISERROR(SEARCH("PENDIENTE",Y20)))</formula>
    </cfRule>
    <cfRule type="containsText" dxfId="3241" priority="13512" operator="containsText" text="PRIORIDAD">
      <formula>NOT(ISERROR(SEARCH("PRIORIDAD",Y20)))</formula>
    </cfRule>
  </conditionalFormatting>
  <conditionalFormatting sqref="Y21:Z21 AB21:AC21">
    <cfRule type="containsText" dxfId="3240" priority="12662" operator="containsText" text="PRIORIDAD">
      <formula>NOT(ISERROR(SEARCH("PRIORIDAD",Y21)))</formula>
    </cfRule>
    <cfRule type="containsText" dxfId="3239" priority="12660" operator="containsText" text="PENDIENTE">
      <formula>NOT(ISERROR(SEARCH("PENDIENTE",#REF!)))</formula>
    </cfRule>
    <cfRule type="containsText" dxfId="3238" priority="12661" operator="containsText" text="PENDIENTE">
      <formula>NOT(ISERROR(SEARCH("PENDIENTE",Y21)))</formula>
    </cfRule>
  </conditionalFormatting>
  <conditionalFormatting sqref="Y22:Z22 AB22:AC22">
    <cfRule type="containsText" dxfId="3237" priority="10734" operator="containsText" text="PENDIENTE">
      <formula>NOT(ISERROR(SEARCH("PENDIENTE",#REF!)))</formula>
    </cfRule>
    <cfRule type="containsText" dxfId="3236" priority="10736" operator="containsText" text="PRIORIDAD">
      <formula>NOT(ISERROR(SEARCH("PRIORIDAD",Y22)))</formula>
    </cfRule>
    <cfRule type="containsText" dxfId="3235" priority="10735" operator="containsText" text="PENDIENTE">
      <formula>NOT(ISERROR(SEARCH("PENDIENTE",Y22)))</formula>
    </cfRule>
  </conditionalFormatting>
  <conditionalFormatting sqref="Y23:Z23 AB23:AC23">
    <cfRule type="containsText" dxfId="3234" priority="6870" operator="containsText" text="ENTREGADO">
      <formula>NOT(ISERROR(SEARCH("ENTREGADO",#REF!)))</formula>
    </cfRule>
  </conditionalFormatting>
  <conditionalFormatting sqref="Y24:Z26 AB24:AC26">
    <cfRule type="containsText" dxfId="3233" priority="6282" operator="containsText" text="ENTREGADO">
      <formula>NOT(ISERROR(SEARCH("ENTREGADO",#REF!)))</formula>
    </cfRule>
  </conditionalFormatting>
  <conditionalFormatting sqref="Y27:Z27">
    <cfRule type="containsText" dxfId="3232" priority="12097" operator="containsText" text="ENTREGADO">
      <formula>NOT(ISERROR(SEARCH("ENTREGADO",#REF!)))</formula>
    </cfRule>
    <cfRule type="containsText" dxfId="3231" priority="12098" operator="containsText" text="ENTREGADO">
      <formula>NOT(ISERROR(SEARCH("ENTREGADO",Y27)))</formula>
    </cfRule>
    <cfRule type="containsText" dxfId="3230" priority="12099" operator="containsText" text="PENDIENTE">
      <formula>NOT(ISERROR(SEARCH("PENDIENTE",#REF!)))</formula>
    </cfRule>
    <cfRule type="containsText" dxfId="3229" priority="12100" operator="containsText" text="PENDIENTE">
      <formula>NOT(ISERROR(SEARCH("PENDIENTE",Y27)))</formula>
    </cfRule>
    <cfRule type="containsText" dxfId="3228" priority="12075" operator="containsText" text="ENTREGADO">
      <formula>NOT(ISERROR(SEARCH("ENTREGADO",#REF!)))</formula>
    </cfRule>
    <cfRule type="containsText" dxfId="3227" priority="12076" operator="containsText" text="ENTREGADO">
      <formula>NOT(ISERROR(SEARCH("ENTREGADO",Y27)))</formula>
    </cfRule>
    <cfRule type="containsText" dxfId="3226" priority="12077" operator="containsText" text="PENDIENTE">
      <formula>NOT(ISERROR(SEARCH("PENDIENTE",#REF!)))</formula>
    </cfRule>
    <cfRule type="containsText" dxfId="3225" priority="12101" operator="containsText" text="ENTREGADO">
      <formula>NOT(ISERROR(SEARCH("ENTREGADO",Y27)))</formula>
    </cfRule>
    <cfRule type="containsText" dxfId="3224" priority="12102" operator="containsText" text="ENTREGADO">
      <formula>NOT(ISERROR(SEARCH("ENTREGADO",#REF!)))</formula>
    </cfRule>
    <cfRule type="containsText" dxfId="3223" priority="12103" operator="containsText" text="ENTREGADO">
      <formula>NOT(ISERROR(SEARCH("ENTREGADO",Y27)))</formula>
    </cfRule>
    <cfRule type="containsText" dxfId="3222" priority="12109" operator="containsText" text="ENTREGADO">
      <formula>NOT(ISERROR(SEARCH("ENTREGADO",#REF!)))</formula>
    </cfRule>
    <cfRule type="containsText" dxfId="3221" priority="12080" operator="containsText" text="ENTREGADO">
      <formula>NOT(ISERROR(SEARCH("ENTREGADO",#REF!)))</formula>
    </cfRule>
    <cfRule type="containsText" dxfId="3220" priority="12081" operator="containsText" text="ENTREGADO">
      <formula>NOT(ISERROR(SEARCH("ENTREGADO",#REF!)))</formula>
    </cfRule>
    <cfRule type="containsText" dxfId="3219" priority="12082" operator="containsText" text="ENTREGADO">
      <formula>NOT(ISERROR(SEARCH("ENTREGADO",Y27)))</formula>
    </cfRule>
    <cfRule type="containsText" dxfId="3218" priority="12083" operator="containsText" text="PENDIENTE">
      <formula>NOT(ISERROR(SEARCH("PENDIENTE",Y27)))</formula>
    </cfRule>
    <cfRule type="containsText" dxfId="3217" priority="12084" operator="containsText" text="ENTREGADO">
      <formula>NOT(ISERROR(SEARCH("ENTREGADO",Y27)))</formula>
    </cfRule>
    <cfRule type="containsText" dxfId="3216" priority="12085" operator="containsText" text="PENDIENTE">
      <formula>NOT(ISERROR(SEARCH("PENDIENTE",#REF!)))</formula>
    </cfRule>
    <cfRule type="containsText" dxfId="3215" priority="12086" operator="containsText" text="PRIORIDAD">
      <formula>NOT(ISERROR(SEARCH("PRIORIDAD",Y27)))</formula>
    </cfRule>
    <cfRule type="containsText" dxfId="3214" priority="12087" operator="containsText" text="ENTREGADO">
      <formula>NOT(ISERROR(SEARCH("ENTREGADO",Y27)))</formula>
    </cfRule>
    <cfRule type="containsText" dxfId="3213" priority="12104" operator="containsText" text="PENDIENTE">
      <formula>NOT(ISERROR(SEARCH("PENDIENTE",Y27)))</formula>
    </cfRule>
    <cfRule type="containsText" dxfId="3212" priority="12110" operator="containsText" text="ENTREGADO">
      <formula>NOT(ISERROR(SEARCH("ENTREGADO",Y27)))</formula>
    </cfRule>
    <cfRule type="containsText" dxfId="3211" priority="12111" operator="containsText" text="PENDIENTE">
      <formula>NOT(ISERROR(SEARCH("PENDIENTE",#REF!)))</formula>
    </cfRule>
    <cfRule type="containsText" dxfId="3210" priority="12112" operator="containsText" text="PENDIENTE">
      <formula>NOT(ISERROR(SEARCH("PENDIENTE",Y27)))</formula>
    </cfRule>
    <cfRule type="containsText" dxfId="3209" priority="12070" operator="containsText" text="PENDIENTE">
      <formula>NOT(ISERROR(SEARCH("PENDIENTE",#REF!)))</formula>
    </cfRule>
    <cfRule type="containsText" dxfId="3208" priority="12071" operator="containsText" text="PENDIENTE">
      <formula>NOT(ISERROR(SEARCH("PENDIENTE",Y27)))</formula>
    </cfRule>
    <cfRule type="containsText" dxfId="3207" priority="12072" operator="containsText" text="ENTREGADO">
      <formula>NOT(ISERROR(SEARCH("ENTREGADO",Y27)))</formula>
    </cfRule>
    <cfRule type="containsText" dxfId="3206" priority="12073" operator="containsText" text="PRIORIDAD">
      <formula>NOT(ISERROR(SEARCH("PRIORIDAD",Y27)))</formula>
    </cfRule>
    <cfRule type="containsText" dxfId="3205" priority="12088" operator="containsText" text="ENTREGADO">
      <formula>NOT(ISERROR(SEARCH("ENTREGADO",Y27)))</formula>
    </cfRule>
    <cfRule type="containsText" dxfId="3204" priority="12074" operator="containsText" text="ENTREGADO">
      <formula>NOT(ISERROR(SEARCH("ENTREGADO",Y27)))</formula>
    </cfRule>
    <cfRule type="containsText" dxfId="3203" priority="12089" operator="containsText" text="PENDIENTE">
      <formula>NOT(ISERROR(SEARCH("PENDIENTE",Y27)))</formula>
    </cfRule>
    <cfRule type="containsText" dxfId="3202" priority="12113" operator="containsText" text="ENTREGADO">
      <formula>NOT(ISERROR(SEARCH("ENTREGADO",Y27)))</formula>
    </cfRule>
    <cfRule type="containsText" dxfId="3201" priority="12114" operator="containsText" text="ENTREGADO">
      <formula>NOT(ISERROR(SEARCH("ENTREGADO",#REF!)))</formula>
    </cfRule>
    <cfRule type="containsText" dxfId="3200" priority="12105" operator="containsText" text="PENDIENTE">
      <formula>NOT(ISERROR(SEARCH("PENDIENTE",#REF!)))</formula>
    </cfRule>
    <cfRule type="containsText" dxfId="3199" priority="12090" operator="containsText" text="ENTREGADO">
      <formula>NOT(ISERROR(SEARCH("ENTREGADO",Y27)))</formula>
    </cfRule>
    <cfRule type="containsText" dxfId="3198" priority="12091" operator="containsText" text="ENTREGADO">
      <formula>NOT(ISERROR(SEARCH("ENTREGADO",Y27)))</formula>
    </cfRule>
    <cfRule type="containsText" dxfId="3197" priority="12092" operator="containsText" text="PENDIENTE">
      <formula>NOT(ISERROR(SEARCH("PENDIENTE",#REF!)))</formula>
    </cfRule>
    <cfRule type="containsText" dxfId="3196" priority="12106" operator="containsText" text="ENTREGADO">
      <formula>NOT(ISERROR(SEARCH("ENTREGADO",Y27)))</formula>
    </cfRule>
    <cfRule type="containsText" dxfId="3195" priority="12108" operator="containsText" text="ENTREGADO">
      <formula>NOT(ISERROR(SEARCH("ENTREGADO",Y27)))</formula>
    </cfRule>
    <cfRule type="containsText" dxfId="3194" priority="12107" operator="containsText" text="PRIORIDAD">
      <formula>NOT(ISERROR(SEARCH("PRIORIDAD",Y27)))</formula>
    </cfRule>
    <cfRule type="containsText" dxfId="3193" priority="12093" operator="containsText" text="PENDIENTE">
      <formula>NOT(ISERROR(SEARCH("PENDIENTE",Y27)))</formula>
    </cfRule>
    <cfRule type="containsText" dxfId="3192" priority="12094" operator="containsText" text="ENTREGADO">
      <formula>NOT(ISERROR(SEARCH("ENTREGADO",Y27)))</formula>
    </cfRule>
    <cfRule type="containsText" dxfId="3191" priority="12095" operator="containsText" text="PRIORIDAD">
      <formula>NOT(ISERROR(SEARCH("PRIORIDAD",Y27)))</formula>
    </cfRule>
    <cfRule type="containsText" dxfId="3190" priority="12078" operator="containsText" text="PENDIENTE">
      <formula>NOT(ISERROR(SEARCH("PENDIENTE",Y27)))</formula>
    </cfRule>
    <cfRule type="containsText" dxfId="3189" priority="12096" operator="containsText" text="ENTREGADO">
      <formula>NOT(ISERROR(SEARCH("ENTREGADO",Y27)))</formula>
    </cfRule>
    <cfRule type="containsText" dxfId="3188" priority="12079" operator="containsText" text="ENTREGADO">
      <formula>NOT(ISERROR(SEARCH("ENTREGADO",Y27)))</formula>
    </cfRule>
  </conditionalFormatting>
  <conditionalFormatting sqref="Y27:Z29 AB28:AC29">
    <cfRule type="containsText" dxfId="3187" priority="20522" operator="containsText" text="ENTREGADO">
      <formula>NOT(ISERROR(SEARCH("ENTREGADO",Y27)))</formula>
    </cfRule>
  </conditionalFormatting>
  <conditionalFormatting sqref="Y28:Z28 AB28:AC28">
    <cfRule type="containsText" dxfId="3186" priority="22802" operator="containsText" text="PENDIENTE">
      <formula>NOT(ISERROR(SEARCH("PENDIENTE",#REF!)))</formula>
    </cfRule>
    <cfRule type="containsText" dxfId="3185" priority="22804" operator="containsText" text="ENTREGADO">
      <formula>NOT(ISERROR(SEARCH("ENTREGADO",Y28)))</formula>
    </cfRule>
    <cfRule type="containsText" dxfId="3184" priority="22805" operator="containsText" text="PRIORIDAD">
      <formula>NOT(ISERROR(SEARCH("PRIORIDAD",Y28)))</formula>
    </cfRule>
    <cfRule type="containsText" dxfId="3183" priority="22806" operator="containsText" text="ENTREGADO">
      <formula>NOT(ISERROR(SEARCH("ENTREGADO",Y28)))</formula>
    </cfRule>
    <cfRule type="containsText" dxfId="3182" priority="22807" operator="containsText" text="ENTREGADO">
      <formula>NOT(ISERROR(SEARCH("ENTREGADO",#REF!)))</formula>
    </cfRule>
    <cfRule type="containsText" dxfId="3181" priority="22808" operator="containsText" text="ENTREGADO">
      <formula>NOT(ISERROR(SEARCH("ENTREGADO",Y28)))</formula>
    </cfRule>
    <cfRule type="containsText" dxfId="3180" priority="22809" operator="containsText" text="PENDIENTE">
      <formula>NOT(ISERROR(SEARCH("PENDIENTE",#REF!)))</formula>
    </cfRule>
    <cfRule type="containsText" dxfId="3179" priority="22810" operator="containsText" text="PENDIENTE">
      <formula>NOT(ISERROR(SEARCH("PENDIENTE",Y28)))</formula>
    </cfRule>
    <cfRule type="containsText" dxfId="3178" priority="22811" operator="containsText" text="ENTREGADO">
      <formula>NOT(ISERROR(SEARCH("ENTREGADO",Y28)))</formula>
    </cfRule>
    <cfRule type="containsText" dxfId="3177" priority="22812" operator="containsText" text="ENTREGADO">
      <formula>NOT(ISERROR(SEARCH("ENTREGADO",#REF!)))</formula>
    </cfRule>
    <cfRule type="containsText" dxfId="3176" priority="22813" operator="containsText" text="ENTREGADO">
      <formula>NOT(ISERROR(SEARCH("ENTREGADO",#REF!)))</formula>
    </cfRule>
    <cfRule type="containsText" dxfId="3175" priority="22814" operator="containsText" text="ENTREGADO">
      <formula>NOT(ISERROR(SEARCH("ENTREGADO",Y28)))</formula>
    </cfRule>
    <cfRule type="containsText" dxfId="3174" priority="22815" operator="containsText" text="PENDIENTE">
      <formula>NOT(ISERROR(SEARCH("PENDIENTE",Y28)))</formula>
    </cfRule>
    <cfRule type="containsText" dxfId="3173" priority="22816" operator="containsText" text="ENTREGADO">
      <formula>NOT(ISERROR(SEARCH("ENTREGADO",Y28)))</formula>
    </cfRule>
    <cfRule type="containsText" dxfId="3172" priority="22817" operator="containsText" text="PENDIENTE">
      <formula>NOT(ISERROR(SEARCH("PENDIENTE",#REF!)))</formula>
    </cfRule>
    <cfRule type="containsText" dxfId="3171" priority="22818" operator="containsText" text="PRIORIDAD">
      <formula>NOT(ISERROR(SEARCH("PRIORIDAD",Y28)))</formula>
    </cfRule>
    <cfRule type="containsText" dxfId="3170" priority="22819" operator="containsText" text="ENTREGADO">
      <formula>NOT(ISERROR(SEARCH("ENTREGADO",Y28)))</formula>
    </cfRule>
    <cfRule type="containsText" dxfId="3169" priority="22820" operator="containsText" text="ENTREGADO">
      <formula>NOT(ISERROR(SEARCH("ENTREGADO",Y28)))</formula>
    </cfRule>
    <cfRule type="containsText" dxfId="3168" priority="22821" operator="containsText" text="PENDIENTE">
      <formula>NOT(ISERROR(SEARCH("PENDIENTE",Y28)))</formula>
    </cfRule>
    <cfRule type="containsText" dxfId="3167" priority="22822" operator="containsText" text="ENTREGADO">
      <formula>NOT(ISERROR(SEARCH("ENTREGADO",Y28)))</formula>
    </cfRule>
    <cfRule type="containsText" dxfId="3166" priority="22823" operator="containsText" text="ENTREGADO">
      <formula>NOT(ISERROR(SEARCH("ENTREGADO",Y28)))</formula>
    </cfRule>
    <cfRule type="containsText" dxfId="3165" priority="22824" operator="containsText" text="PENDIENTE">
      <formula>NOT(ISERROR(SEARCH("PENDIENTE",#REF!)))</formula>
    </cfRule>
    <cfRule type="containsText" dxfId="3164" priority="22825" operator="containsText" text="PENDIENTE">
      <formula>NOT(ISERROR(SEARCH("PENDIENTE",Y28)))</formula>
    </cfRule>
    <cfRule type="containsText" dxfId="3163" priority="22826" operator="containsText" text="ENTREGADO">
      <formula>NOT(ISERROR(SEARCH("ENTREGADO",Y28)))</formula>
    </cfRule>
    <cfRule type="containsText" dxfId="3162" priority="22827" operator="containsText" text="PRIORIDAD">
      <formula>NOT(ISERROR(SEARCH("PRIORIDAD",Y28)))</formula>
    </cfRule>
    <cfRule type="containsText" dxfId="3161" priority="22828" operator="containsText" text="ENTREGADO">
      <formula>NOT(ISERROR(SEARCH("ENTREGADO",Y28)))</formula>
    </cfRule>
    <cfRule type="containsText" dxfId="3160" priority="22829" operator="containsText" text="ENTREGADO">
      <formula>NOT(ISERROR(SEARCH("ENTREGADO",#REF!)))</formula>
    </cfRule>
    <cfRule type="containsText" dxfId="3159" priority="22831" operator="containsText" text="PENDIENTE">
      <formula>NOT(ISERROR(SEARCH("PENDIENTE",#REF!)))</formula>
    </cfRule>
    <cfRule type="containsText" dxfId="3158" priority="22832" operator="containsText" text="PENDIENTE">
      <formula>NOT(ISERROR(SEARCH("PENDIENTE",Y28)))</formula>
    </cfRule>
    <cfRule type="containsText" dxfId="3157" priority="22833" operator="containsText" text="ENTREGADO">
      <formula>NOT(ISERROR(SEARCH("ENTREGADO",Y28)))</formula>
    </cfRule>
    <cfRule type="containsText" dxfId="3156" priority="22834" operator="containsText" text="ENTREGADO">
      <formula>NOT(ISERROR(SEARCH("ENTREGADO",#REF!)))</formula>
    </cfRule>
    <cfRule type="containsText" dxfId="3155" priority="22856" operator="containsText" text="PENDIENTE">
      <formula>NOT(ISERROR(SEARCH("PENDIENTE",Y28)))</formula>
    </cfRule>
    <cfRule type="containsText" dxfId="3154" priority="22857" operator="containsText" text="PENDIENTE">
      <formula>NOT(ISERROR(SEARCH("PENDIENTE",#REF!)))</formula>
    </cfRule>
    <cfRule type="containsText" dxfId="3153" priority="22858" operator="containsText" text="ENTREGADO">
      <formula>NOT(ISERROR(SEARCH("ENTREGADO",Y28)))</formula>
    </cfRule>
    <cfRule type="containsText" dxfId="3152" priority="22859" operator="containsText" text="PRIORIDAD">
      <formula>NOT(ISERROR(SEARCH("PRIORIDAD",Y28)))</formula>
    </cfRule>
    <cfRule type="containsText" dxfId="3151" priority="22860" operator="containsText" text="ENTREGADO">
      <formula>NOT(ISERROR(SEARCH("ENTREGADO",Y28)))</formula>
    </cfRule>
    <cfRule type="containsText" dxfId="3150" priority="22862" operator="containsText" text="ENTREGADO">
      <formula>NOT(ISERROR(SEARCH("ENTREGADO",Y28)))</formula>
    </cfRule>
    <cfRule type="containsText" dxfId="3149" priority="22863" operator="containsText" text="PENDIENTE">
      <formula>NOT(ISERROR(SEARCH("PENDIENTE",#REF!)))</formula>
    </cfRule>
    <cfRule type="containsText" dxfId="3148" priority="22864" operator="containsText" text="PENDIENTE">
      <formula>NOT(ISERROR(SEARCH("PENDIENTE",Y28)))</formula>
    </cfRule>
    <cfRule type="containsText" dxfId="3147" priority="22866" operator="containsText" text="ENTREGADO">
      <formula>NOT(ISERROR(SEARCH("ENTREGADO",#REF!)))</formula>
    </cfRule>
    <cfRule type="containsText" dxfId="3146" priority="22830" operator="containsText" text="ENTREGADO">
      <formula>NOT(ISERROR(SEARCH("ENTREGADO",Y28)))</formula>
    </cfRule>
  </conditionalFormatting>
  <conditionalFormatting sqref="Y28:Z28 AB28:AD28">
    <cfRule type="containsText" dxfId="3145" priority="22861" operator="containsText" text="ENTREGADO">
      <formula>NOT(ISERROR(SEARCH("ENTREGADO",#REF!)))</formula>
    </cfRule>
    <cfRule type="containsText" dxfId="3144" priority="22865" operator="containsText" text="ENTREGADO">
      <formula>NOT(ISERROR(SEARCH("ENTREGADO",Y28)))</formula>
    </cfRule>
  </conditionalFormatting>
  <conditionalFormatting sqref="Y28:Z29 AB28:AC29">
    <cfRule type="containsText" dxfId="3143" priority="20524" operator="containsText" text="PENDIENTE">
      <formula>NOT(ISERROR(SEARCH("PENDIENTE",Y28)))</formula>
    </cfRule>
  </conditionalFormatting>
  <conditionalFormatting sqref="Y29:Z29 AB29:AC29">
    <cfRule type="containsText" dxfId="3142" priority="20517" operator="containsText" text="PENDIENTE">
      <formula>NOT(ISERROR(SEARCH("PENDIENTE",#REF!)))</formula>
    </cfRule>
    <cfRule type="containsText" dxfId="3141" priority="20526" operator="containsText" text="ENTREGADO">
      <formula>NOT(ISERROR(SEARCH("ENTREGADO",#REF!)))</formula>
    </cfRule>
    <cfRule type="containsText" dxfId="3140" priority="20480" operator="containsText" text="ENTREGADO">
      <formula>NOT(ISERROR(SEARCH("ENTREGADO",Y29)))</formula>
    </cfRule>
    <cfRule type="containsText" dxfId="3139" priority="20479" operator="containsText" text="ENTREGADO">
      <formula>NOT(ISERROR(SEARCH("ENTREGADO",Y29)))</formula>
    </cfRule>
    <cfRule type="containsText" dxfId="3138" priority="20478" operator="containsText" text="PRIORIDAD">
      <formula>NOT(ISERROR(SEARCH("PRIORIDAD",Y29)))</formula>
    </cfRule>
    <cfRule type="containsText" dxfId="3137" priority="20477" operator="containsText" text="PENDIENTE">
      <formula>NOT(ISERROR(SEARCH("PENDIENTE",#REF!)))</formula>
    </cfRule>
    <cfRule type="containsText" dxfId="3136" priority="20476" operator="containsText" text="ENTREGADO">
      <formula>NOT(ISERROR(SEARCH("ENTREGADO",Y29)))</formula>
    </cfRule>
    <cfRule type="containsText" dxfId="3135" priority="20475" operator="containsText" text="PENDIENTE">
      <formula>NOT(ISERROR(SEARCH("PENDIENTE",Y29)))</formula>
    </cfRule>
    <cfRule type="containsText" dxfId="3134" priority="20474" operator="containsText" text="ENTREGADO">
      <formula>NOT(ISERROR(SEARCH("ENTREGADO",Y29)))</formula>
    </cfRule>
    <cfRule type="containsText" dxfId="3133" priority="20473" operator="containsText" text="ENTREGADO">
      <formula>NOT(ISERROR(SEARCH("ENTREGADO",#REF!)))</formula>
    </cfRule>
    <cfRule type="containsText" dxfId="3132" priority="20472" operator="containsText" text="ENTREGADO">
      <formula>NOT(ISERROR(SEARCH("ENTREGADO",#REF!)))</formula>
    </cfRule>
    <cfRule type="containsText" dxfId="3131" priority="20518" operator="containsText" text="ENTREGADO">
      <formula>NOT(ISERROR(SEARCH("ENTREGADO",Y29)))</formula>
    </cfRule>
    <cfRule type="containsText" dxfId="3130" priority="20519" operator="containsText" text="PRIORIDAD">
      <formula>NOT(ISERROR(SEARCH("PRIORIDAD",Y29)))</formula>
    </cfRule>
    <cfRule type="containsText" dxfId="3129" priority="20520" operator="containsText" text="ENTREGADO">
      <formula>NOT(ISERROR(SEARCH("ENTREGADO",Y29)))</formula>
    </cfRule>
    <cfRule type="containsText" dxfId="3128" priority="20523" operator="containsText" text="PENDIENTE">
      <formula>NOT(ISERROR(SEARCH("PENDIENTE",#REF!)))</formula>
    </cfRule>
    <cfRule type="containsText" dxfId="3127" priority="20471" operator="containsText" text="ENTREGADO">
      <formula>NOT(ISERROR(SEARCH("ENTREGADO",Y29)))</formula>
    </cfRule>
    <cfRule type="containsText" dxfId="3126" priority="20470" operator="containsText" text="PENDIENTE">
      <formula>NOT(ISERROR(SEARCH("PENDIENTE",Y29)))</formula>
    </cfRule>
    <cfRule type="containsText" dxfId="3125" priority="20469" operator="containsText" text="PENDIENTE">
      <formula>NOT(ISERROR(SEARCH("PENDIENTE",#REF!)))</formula>
    </cfRule>
    <cfRule type="containsText" dxfId="3124" priority="20468" operator="containsText" text="ENTREGADO">
      <formula>NOT(ISERROR(SEARCH("ENTREGADO",Y29)))</formula>
    </cfRule>
    <cfRule type="containsText" dxfId="3123" priority="20467" operator="containsText" text="ENTREGADO">
      <formula>NOT(ISERROR(SEARCH("ENTREGADO",#REF!)))</formula>
    </cfRule>
    <cfRule type="containsText" dxfId="3122" priority="20466" operator="containsText" text="ENTREGADO">
      <formula>NOT(ISERROR(SEARCH("ENTREGADO",Y29)))</formula>
    </cfRule>
    <cfRule type="containsText" dxfId="3121" priority="20516" operator="containsText" text="PENDIENTE">
      <formula>NOT(ISERROR(SEARCH("PENDIENTE",Y29)))</formula>
    </cfRule>
    <cfRule type="containsText" dxfId="3120" priority="20491" operator="containsText" text="PENDIENTE">
      <formula>NOT(ISERROR(SEARCH("PENDIENTE",#REF!)))</formula>
    </cfRule>
    <cfRule type="containsText" dxfId="3119" priority="20481" operator="containsText" text="PENDIENTE">
      <formula>NOT(ISERROR(SEARCH("PENDIENTE",Y29)))</formula>
    </cfRule>
    <cfRule type="containsText" dxfId="3118" priority="20482" operator="containsText" text="ENTREGADO">
      <formula>NOT(ISERROR(SEARCH("ENTREGADO",Y29)))</formula>
    </cfRule>
    <cfRule type="containsText" dxfId="3117" priority="20483" operator="containsText" text="ENTREGADO">
      <formula>NOT(ISERROR(SEARCH("ENTREGADO",Y29)))</formula>
    </cfRule>
    <cfRule type="containsText" dxfId="3116" priority="20484" operator="containsText" text="PENDIENTE">
      <formula>NOT(ISERROR(SEARCH("PENDIENTE",#REF!)))</formula>
    </cfRule>
    <cfRule type="containsText" dxfId="3115" priority="20485" operator="containsText" text="PENDIENTE">
      <formula>NOT(ISERROR(SEARCH("PENDIENTE",Y29)))</formula>
    </cfRule>
    <cfRule type="containsText" dxfId="3114" priority="20486" operator="containsText" text="ENTREGADO">
      <formula>NOT(ISERROR(SEARCH("ENTREGADO",Y29)))</formula>
    </cfRule>
    <cfRule type="containsText" dxfId="3113" priority="20487" operator="containsText" text="PRIORIDAD">
      <formula>NOT(ISERROR(SEARCH("PRIORIDAD",Y29)))</formula>
    </cfRule>
    <cfRule type="containsText" dxfId="3112" priority="20488" operator="containsText" text="ENTREGADO">
      <formula>NOT(ISERROR(SEARCH("ENTREGADO",Y29)))</formula>
    </cfRule>
    <cfRule type="containsText" dxfId="3111" priority="20489" operator="containsText" text="ENTREGADO">
      <formula>NOT(ISERROR(SEARCH("ENTREGADO",#REF!)))</formula>
    </cfRule>
    <cfRule type="containsText" dxfId="3110" priority="20490" operator="containsText" text="ENTREGADO">
      <formula>NOT(ISERROR(SEARCH("ENTREGADO",Y29)))</formula>
    </cfRule>
    <cfRule type="containsText" dxfId="3109" priority="20492" operator="containsText" text="PENDIENTE">
      <formula>NOT(ISERROR(SEARCH("PENDIENTE",Y29)))</formula>
    </cfRule>
    <cfRule type="containsText" dxfId="3108" priority="20493" operator="containsText" text="ENTREGADO">
      <formula>NOT(ISERROR(SEARCH("ENTREGADO",Y29)))</formula>
    </cfRule>
    <cfRule type="containsText" dxfId="3107" priority="20494" operator="containsText" text="ENTREGADO">
      <formula>NOT(ISERROR(SEARCH("ENTREGADO",#REF!)))</formula>
    </cfRule>
  </conditionalFormatting>
  <conditionalFormatting sqref="Y29:Z29 AB29:AD29">
    <cfRule type="containsText" dxfId="3106" priority="20525" operator="containsText" text="ENTREGADO">
      <formula>NOT(ISERROR(SEARCH("ENTREGADO",Y29)))</formula>
    </cfRule>
    <cfRule type="containsText" dxfId="3105" priority="20521" operator="containsText" text="ENTREGADO">
      <formula>NOT(ISERROR(SEARCH("ENTREGADO",#REF!)))</formula>
    </cfRule>
  </conditionalFormatting>
  <conditionalFormatting sqref="Y29:Z30 AB29:AC30">
    <cfRule type="containsText" dxfId="3104" priority="18946" operator="containsText" text="ENTREGADO">
      <formula>NOT(ISERROR(SEARCH("ENTREGADO",Y29)))</formula>
    </cfRule>
    <cfRule type="containsText" dxfId="3103" priority="18947" operator="containsText" text="PENDIENTE">
      <formula>NOT(ISERROR(SEARCH("PENDIENTE",#REF!)))</formula>
    </cfRule>
    <cfRule type="containsText" dxfId="3102" priority="18948" operator="containsText" text="PENDIENTE">
      <formula>NOT(ISERROR(SEARCH("PENDIENTE",Y29)))</formula>
    </cfRule>
  </conditionalFormatting>
  <conditionalFormatting sqref="Y29:Z30 AB30:AD30">
    <cfRule type="containsText" dxfId="3101" priority="18949" operator="containsText" text="ENTREGADO">
      <formula>NOT(ISERROR(SEARCH("ENTREGADO",Y29)))</formula>
    </cfRule>
  </conditionalFormatting>
  <conditionalFormatting sqref="Y30:Z30 AB30:AC30">
    <cfRule type="containsText" dxfId="3100" priority="18944" operator="containsText" text="ENTREGADO">
      <formula>NOT(ISERROR(SEARCH("ENTREGADO",Y30)))</formula>
    </cfRule>
    <cfRule type="containsText" dxfId="3099" priority="18943" operator="containsText" text="PRIORIDAD">
      <formula>NOT(ISERROR(SEARCH("PRIORIDAD",Y30)))</formula>
    </cfRule>
    <cfRule type="containsText" dxfId="3098" priority="18942" operator="containsText" text="ENTREGADO">
      <formula>NOT(ISERROR(SEARCH("ENTREGADO",Y30)))</formula>
    </cfRule>
    <cfRule type="containsText" dxfId="3097" priority="18941" operator="containsText" text="PENDIENTE">
      <formula>NOT(ISERROR(SEARCH("PENDIENTE",#REF!)))</formula>
    </cfRule>
    <cfRule type="containsText" dxfId="3096" priority="18940" operator="containsText" text="PENDIENTE">
      <formula>NOT(ISERROR(SEARCH("PENDIENTE",Y30)))</formula>
    </cfRule>
    <cfRule type="containsText" dxfId="3095" priority="18901" operator="containsText" text="PENDIENTE">
      <formula>NOT(ISERROR(SEARCH("PENDIENTE",#REF!)))</formula>
    </cfRule>
    <cfRule type="containsText" dxfId="3094" priority="18900" operator="containsText" text="ENTREGADO">
      <formula>NOT(ISERROR(SEARCH("ENTREGADO",Y30)))</formula>
    </cfRule>
    <cfRule type="containsText" dxfId="3093" priority="18899" operator="containsText" text="PENDIENTE">
      <formula>NOT(ISERROR(SEARCH("PENDIENTE",Y30)))</formula>
    </cfRule>
    <cfRule type="containsText" dxfId="3092" priority="18898" operator="containsText" text="ENTREGADO">
      <formula>NOT(ISERROR(SEARCH("ENTREGADO",Y30)))</formula>
    </cfRule>
    <cfRule type="containsText" dxfId="3091" priority="18897" operator="containsText" text="ENTREGADO">
      <formula>NOT(ISERROR(SEARCH("ENTREGADO",#REF!)))</formula>
    </cfRule>
    <cfRule type="containsText" dxfId="3090" priority="18896" operator="containsText" text="ENTREGADO">
      <formula>NOT(ISERROR(SEARCH("ENTREGADO",#REF!)))</formula>
    </cfRule>
    <cfRule type="containsText" dxfId="3089" priority="18895" operator="containsText" text="ENTREGADO">
      <formula>NOT(ISERROR(SEARCH("ENTREGADO",Y30)))</formula>
    </cfRule>
    <cfRule type="containsText" dxfId="3088" priority="18950" operator="containsText" text="ENTREGADO">
      <formula>NOT(ISERROR(SEARCH("ENTREGADO",#REF!)))</formula>
    </cfRule>
    <cfRule type="containsText" dxfId="3087" priority="18894" operator="containsText" text="PENDIENTE">
      <formula>NOT(ISERROR(SEARCH("PENDIENTE",Y30)))</formula>
    </cfRule>
    <cfRule type="containsText" dxfId="3086" priority="18893" operator="containsText" text="PENDIENTE">
      <formula>NOT(ISERROR(SEARCH("PENDIENTE",#REF!)))</formula>
    </cfRule>
    <cfRule type="containsText" dxfId="3085" priority="18918" operator="containsText" text="ENTREGADO">
      <formula>NOT(ISERROR(SEARCH("ENTREGADO",#REF!)))</formula>
    </cfRule>
    <cfRule type="containsText" dxfId="3084" priority="18917" operator="containsText" text="ENTREGADO">
      <formula>NOT(ISERROR(SEARCH("ENTREGADO",Y30)))</formula>
    </cfRule>
    <cfRule type="containsText" dxfId="3083" priority="18916" operator="containsText" text="PENDIENTE">
      <formula>NOT(ISERROR(SEARCH("PENDIENTE",Y30)))</formula>
    </cfRule>
    <cfRule type="containsText" dxfId="3082" priority="18915" operator="containsText" text="PENDIENTE">
      <formula>NOT(ISERROR(SEARCH("PENDIENTE",#REF!)))</formula>
    </cfRule>
    <cfRule type="containsText" dxfId="3081" priority="18913" operator="containsText" text="ENTREGADO">
      <formula>NOT(ISERROR(SEARCH("ENTREGADO",#REF!)))</formula>
    </cfRule>
    <cfRule type="containsText" dxfId="3080" priority="18912" operator="containsText" text="ENTREGADO">
      <formula>NOT(ISERROR(SEARCH("ENTREGADO",Y30)))</formula>
    </cfRule>
    <cfRule type="containsText" dxfId="3079" priority="18911" operator="containsText" text="PRIORIDAD">
      <formula>NOT(ISERROR(SEARCH("PRIORIDAD",Y30)))</formula>
    </cfRule>
    <cfRule type="containsText" dxfId="3078" priority="18910" operator="containsText" text="ENTREGADO">
      <formula>NOT(ISERROR(SEARCH("ENTREGADO",Y30)))</formula>
    </cfRule>
    <cfRule type="containsText" dxfId="3077" priority="18892" operator="containsText" text="ENTREGADO">
      <formula>NOT(ISERROR(SEARCH("ENTREGADO",Y30)))</formula>
    </cfRule>
    <cfRule type="containsText" dxfId="3076" priority="18891" operator="containsText" text="ENTREGADO">
      <formula>NOT(ISERROR(SEARCH("ENTREGADO",#REF!)))</formula>
    </cfRule>
    <cfRule type="containsText" dxfId="3075" priority="18890" operator="containsText" text="ENTREGADO">
      <formula>NOT(ISERROR(SEARCH("ENTREGADO",Y30)))</formula>
    </cfRule>
    <cfRule type="containsText" dxfId="3074" priority="18889" operator="containsText" text="PRIORIDAD">
      <formula>NOT(ISERROR(SEARCH("PRIORIDAD",Y30)))</formula>
    </cfRule>
    <cfRule type="containsText" dxfId="3073" priority="18888" operator="containsText" text="ENTREGADO">
      <formula>NOT(ISERROR(SEARCH("ENTREGADO",Y30)))</formula>
    </cfRule>
    <cfRule type="containsText" dxfId="3072" priority="18914" operator="containsText" text="ENTREGADO">
      <formula>NOT(ISERROR(SEARCH("ENTREGADO",Y30)))</formula>
    </cfRule>
    <cfRule type="containsText" dxfId="3071" priority="18909" operator="containsText" text="PENDIENTE">
      <formula>NOT(ISERROR(SEARCH("PENDIENTE",Y30)))</formula>
    </cfRule>
    <cfRule type="containsText" dxfId="3070" priority="18908" operator="containsText" text="PENDIENTE">
      <formula>NOT(ISERROR(SEARCH("PENDIENTE",#REF!)))</formula>
    </cfRule>
    <cfRule type="containsText" dxfId="3069" priority="18907" operator="containsText" text="ENTREGADO">
      <formula>NOT(ISERROR(SEARCH("ENTREGADO",Y30)))</formula>
    </cfRule>
    <cfRule type="containsText" dxfId="3068" priority="18906" operator="containsText" text="ENTREGADO">
      <formula>NOT(ISERROR(SEARCH("ENTREGADO",Y30)))</formula>
    </cfRule>
    <cfRule type="containsText" dxfId="3067" priority="18905" operator="containsText" text="PENDIENTE">
      <formula>NOT(ISERROR(SEARCH("PENDIENTE",Y30)))</formula>
    </cfRule>
    <cfRule type="containsText" dxfId="3066" priority="18904" operator="containsText" text="ENTREGADO">
      <formula>NOT(ISERROR(SEARCH("ENTREGADO",Y30)))</formula>
    </cfRule>
    <cfRule type="containsText" dxfId="3065" priority="18903" operator="containsText" text="ENTREGADO">
      <formula>NOT(ISERROR(SEARCH("ENTREGADO",Y30)))</formula>
    </cfRule>
    <cfRule type="containsText" dxfId="3064" priority="18902" operator="containsText" text="PRIORIDAD">
      <formula>NOT(ISERROR(SEARCH("PRIORIDAD",Y30)))</formula>
    </cfRule>
  </conditionalFormatting>
  <conditionalFormatting sqref="Y30:Z30 AB30:AD30">
    <cfRule type="containsText" dxfId="3063" priority="18945" operator="containsText" text="ENTREGADO">
      <formula>NOT(ISERROR(SEARCH("ENTREGADO",#REF!)))</formula>
    </cfRule>
  </conditionalFormatting>
  <conditionalFormatting sqref="Y30:Z32 AB30:AC32">
    <cfRule type="containsText" dxfId="3062" priority="17413" operator="containsText" text="ENTREGADO">
      <formula>NOT(ISERROR(SEARCH("ENTREGADO",Y30)))</formula>
    </cfRule>
    <cfRule type="containsText" dxfId="3061" priority="17414" operator="containsText" text="PENDIENTE">
      <formula>NOT(ISERROR(SEARCH("PENDIENTE",#REF!)))</formula>
    </cfRule>
    <cfRule type="containsText" dxfId="3060" priority="17418" operator="containsText" text="PENDIENTE">
      <formula>NOT(ISERROR(SEARCH("PENDIENTE",Y30)))</formula>
    </cfRule>
  </conditionalFormatting>
  <conditionalFormatting sqref="Y31:Z31 AB31:AC31">
    <cfRule type="containsText" dxfId="3059" priority="17411" operator="containsText" text="ENTREGADO">
      <formula>NOT(ISERROR(SEARCH("ENTREGADO",Y31)))</formula>
    </cfRule>
    <cfRule type="containsText" dxfId="3058" priority="17415" operator="containsText" text="PENDIENTE">
      <formula>NOT(ISERROR(SEARCH("PENDIENTE",Y31)))</formula>
    </cfRule>
    <cfRule type="containsText" dxfId="3057" priority="17408" operator="containsText" text="PENDIENTE">
      <formula>NOT(ISERROR(SEARCH("PENDIENTE",Y31)))</formula>
    </cfRule>
    <cfRule type="containsText" dxfId="3056" priority="17407" operator="containsText" text="PENDIENTE">
      <formula>NOT(ISERROR(SEARCH("PENDIENTE",#REF!)))</formula>
    </cfRule>
    <cfRule type="containsText" dxfId="3055" priority="17406" operator="containsText" text="ENTREGADO">
      <formula>NOT(ISERROR(SEARCH("ENTREGADO",Y31)))</formula>
    </cfRule>
    <cfRule type="containsText" dxfId="3054" priority="17417" operator="containsText" text="ENTREGADO">
      <formula>NOT(ISERROR(SEARCH("ENTREGADO",#REF!)))</formula>
    </cfRule>
    <cfRule type="containsText" dxfId="3053" priority="17409" operator="containsText" text="ENTREGADO">
      <formula>NOT(ISERROR(SEARCH("ENTREGADO",Y31)))</formula>
    </cfRule>
  </conditionalFormatting>
  <conditionalFormatting sqref="Y32:Z32 AB32:AC32">
    <cfRule type="containsText" dxfId="3052" priority="19784" operator="containsText" text="ENTREGADO">
      <formula>NOT(ISERROR(SEARCH("ENTREGADO",Y32)))</formula>
    </cfRule>
    <cfRule type="containsText" dxfId="3051" priority="19785" operator="containsText" text="ENTREGADO">
      <formula>NOT(ISERROR(SEARCH("ENTREGADO",Y32)))</formula>
    </cfRule>
    <cfRule type="containsText" dxfId="3050" priority="19786" operator="containsText" text="PENDIENTE">
      <formula>NOT(ISERROR(SEARCH("PENDIENTE",Y32)))</formula>
    </cfRule>
    <cfRule type="containsText" dxfId="3049" priority="19787" operator="containsText" text="ENTREGADO">
      <formula>NOT(ISERROR(SEARCH("ENTREGADO",Y32)))</formula>
    </cfRule>
    <cfRule type="containsText" dxfId="3048" priority="19788" operator="containsText" text="ENTREGADO">
      <formula>NOT(ISERROR(SEARCH("ENTREGADO",Y32)))</formula>
    </cfRule>
    <cfRule type="containsText" dxfId="3047" priority="19789" operator="containsText" text="PENDIENTE">
      <formula>NOT(ISERROR(SEARCH("PENDIENTE",#REF!)))</formula>
    </cfRule>
    <cfRule type="containsText" dxfId="3046" priority="19790" operator="containsText" text="PENDIENTE">
      <formula>NOT(ISERROR(SEARCH("PENDIENTE",Y32)))</formula>
    </cfRule>
    <cfRule type="containsText" dxfId="3045" priority="19791" operator="containsText" text="ENTREGADO">
      <formula>NOT(ISERROR(SEARCH("ENTREGADO",Y32)))</formula>
    </cfRule>
    <cfRule type="containsText" dxfId="3044" priority="19792" operator="containsText" text="PRIORIDAD">
      <formula>NOT(ISERROR(SEARCH("PRIORIDAD",Y32)))</formula>
    </cfRule>
    <cfRule type="containsText" dxfId="3043" priority="19793" operator="containsText" text="ENTREGADO">
      <formula>NOT(ISERROR(SEARCH("ENTREGADO",Y32)))</formula>
    </cfRule>
    <cfRule type="containsText" dxfId="3042" priority="19794" operator="containsText" text="ENTREGADO">
      <formula>NOT(ISERROR(SEARCH("ENTREGADO",#REF!)))</formula>
    </cfRule>
    <cfRule type="containsText" dxfId="3041" priority="19795" operator="containsText" text="ENTREGADO">
      <formula>NOT(ISERROR(SEARCH("ENTREGADO",Y32)))</formula>
    </cfRule>
    <cfRule type="containsText" dxfId="3040" priority="19796" operator="containsText" text="PENDIENTE">
      <formula>NOT(ISERROR(SEARCH("PENDIENTE",#REF!)))</formula>
    </cfRule>
    <cfRule type="containsText" dxfId="3039" priority="19797" operator="containsText" text="PENDIENTE">
      <formula>NOT(ISERROR(SEARCH("PENDIENTE",Y32)))</formula>
    </cfRule>
    <cfRule type="containsText" dxfId="3038" priority="19798" operator="containsText" text="ENTREGADO">
      <formula>NOT(ISERROR(SEARCH("ENTREGADO",Y32)))</formula>
    </cfRule>
    <cfRule type="containsText" dxfId="3037" priority="19799" operator="containsText" text="ENTREGADO">
      <formula>NOT(ISERROR(SEARCH("ENTREGADO",#REF!)))</formula>
    </cfRule>
    <cfRule type="containsText" dxfId="3036" priority="19821" operator="containsText" text="PENDIENTE">
      <formula>NOT(ISERROR(SEARCH("PENDIENTE",Y32)))</formula>
    </cfRule>
    <cfRule type="containsText" dxfId="3035" priority="19822" operator="containsText" text="PENDIENTE">
      <formula>NOT(ISERROR(SEARCH("PENDIENTE",#REF!)))</formula>
    </cfRule>
    <cfRule type="containsText" dxfId="3034" priority="19823" operator="containsText" text="ENTREGADO">
      <formula>NOT(ISERROR(SEARCH("ENTREGADO",Y32)))</formula>
    </cfRule>
    <cfRule type="containsText" dxfId="3033" priority="19824" operator="containsText" text="PRIORIDAD">
      <formula>NOT(ISERROR(SEARCH("PRIORIDAD",Y32)))</formula>
    </cfRule>
    <cfRule type="containsText" dxfId="3032" priority="19778" operator="containsText" text="ENTREGADO">
      <formula>NOT(ISERROR(SEARCH("ENTREGADO",#REF!)))</formula>
    </cfRule>
    <cfRule type="containsText" dxfId="3031" priority="19777" operator="containsText" text="ENTREGADO">
      <formula>NOT(ISERROR(SEARCH("ENTREGADO",#REF!)))</formula>
    </cfRule>
    <cfRule type="containsText" dxfId="3030" priority="19776" operator="containsText" text="ENTREGADO">
      <formula>NOT(ISERROR(SEARCH("ENTREGADO",Y32)))</formula>
    </cfRule>
    <cfRule type="containsText" dxfId="3029" priority="19775" operator="containsText" text="PENDIENTE">
      <formula>NOT(ISERROR(SEARCH("PENDIENTE",Y32)))</formula>
    </cfRule>
    <cfRule type="containsText" dxfId="3028" priority="19774" operator="containsText" text="PENDIENTE">
      <formula>NOT(ISERROR(SEARCH("PENDIENTE",#REF!)))</formula>
    </cfRule>
    <cfRule type="containsText" dxfId="3027" priority="19773" operator="containsText" text="ENTREGADO">
      <formula>NOT(ISERROR(SEARCH("ENTREGADO",Y32)))</formula>
    </cfRule>
    <cfRule type="containsText" dxfId="3026" priority="19772" operator="containsText" text="ENTREGADO">
      <formula>NOT(ISERROR(SEARCH("ENTREGADO",#REF!)))</formula>
    </cfRule>
    <cfRule type="containsText" dxfId="3025" priority="19771" operator="containsText" text="ENTREGADO">
      <formula>NOT(ISERROR(SEARCH("ENTREGADO",Y32)))</formula>
    </cfRule>
    <cfRule type="containsText" dxfId="3024" priority="19770" operator="containsText" text="PRIORIDAD">
      <formula>NOT(ISERROR(SEARCH("PRIORIDAD",Y32)))</formula>
    </cfRule>
    <cfRule type="containsText" dxfId="3023" priority="19769" operator="containsText" text="ENTREGADO">
      <formula>NOT(ISERROR(SEARCH("ENTREGADO",Y32)))</formula>
    </cfRule>
    <cfRule type="containsText" dxfId="3022" priority="19825" operator="containsText" text="ENTREGADO">
      <formula>NOT(ISERROR(SEARCH("ENTREGADO",Y32)))</formula>
    </cfRule>
    <cfRule type="containsText" dxfId="3021" priority="19831" operator="containsText" text="ENTREGADO">
      <formula>NOT(ISERROR(SEARCH("ENTREGADO",#REF!)))</formula>
    </cfRule>
    <cfRule type="containsText" dxfId="3020" priority="19829" operator="containsText" text="PENDIENTE">
      <formula>NOT(ISERROR(SEARCH("PENDIENTE",Y32)))</formula>
    </cfRule>
    <cfRule type="containsText" dxfId="3019" priority="19828" operator="containsText" text="PENDIENTE">
      <formula>NOT(ISERROR(SEARCH("PENDIENTE",#REF!)))</formula>
    </cfRule>
    <cfRule type="containsText" dxfId="3018" priority="19827" operator="containsText" text="ENTREGADO">
      <formula>NOT(ISERROR(SEARCH("ENTREGADO",Y32)))</formula>
    </cfRule>
    <cfRule type="containsText" dxfId="3017" priority="19783" operator="containsText" text="PRIORIDAD">
      <formula>NOT(ISERROR(SEARCH("PRIORIDAD",Y32)))</formula>
    </cfRule>
    <cfRule type="containsText" dxfId="3016" priority="19782" operator="containsText" text="PENDIENTE">
      <formula>NOT(ISERROR(SEARCH("PENDIENTE",#REF!)))</formula>
    </cfRule>
    <cfRule type="containsText" dxfId="3015" priority="19781" operator="containsText" text="ENTREGADO">
      <formula>NOT(ISERROR(SEARCH("ENTREGADO",Y32)))</formula>
    </cfRule>
    <cfRule type="containsText" dxfId="3014" priority="19780" operator="containsText" text="PENDIENTE">
      <formula>NOT(ISERROR(SEARCH("PENDIENTE",Y32)))</formula>
    </cfRule>
    <cfRule type="containsText" dxfId="3013" priority="19779" operator="containsText" text="ENTREGADO">
      <formula>NOT(ISERROR(SEARCH("ENTREGADO",Y32)))</formula>
    </cfRule>
  </conditionalFormatting>
  <conditionalFormatting sqref="Y32:Z32 AB32:AD32">
    <cfRule type="containsText" dxfId="3012" priority="19826" operator="containsText" text="ENTREGADO">
      <formula>NOT(ISERROR(SEARCH("ENTREGADO",#REF!)))</formula>
    </cfRule>
    <cfRule type="containsText" dxfId="3011" priority="19830" operator="containsText" text="ENTREGADO">
      <formula>NOT(ISERROR(SEARCH("ENTREGADO",Y32)))</formula>
    </cfRule>
  </conditionalFormatting>
  <conditionalFormatting sqref="Y34:Z34 AB34:AC34">
    <cfRule type="containsText" dxfId="3010" priority="20171" operator="containsText" text="PENDIENTE">
      <formula>NOT(ISERROR(SEARCH("PENDIENTE",#REF!)))</formula>
    </cfRule>
    <cfRule type="containsText" dxfId="3009" priority="20170" operator="containsText" text="ENTREGADO">
      <formula>NOT(ISERROR(SEARCH("ENTREGADO",Y34)))</formula>
    </cfRule>
    <cfRule type="containsText" dxfId="3008" priority="20125" operator="containsText" text="PENDIENTE">
      <formula>NOT(ISERROR(SEARCH("PENDIENTE",#REF!)))</formula>
    </cfRule>
    <cfRule type="containsText" dxfId="3007" priority="20137" operator="containsText" text="ENTREGADO">
      <formula>NOT(ISERROR(SEARCH("ENTREGADO",#REF!)))</formula>
    </cfRule>
    <cfRule type="containsText" dxfId="3006" priority="20121" operator="containsText" text="ENTREGADO">
      <formula>NOT(ISERROR(SEARCH("ENTREGADO",#REF!)))</formula>
    </cfRule>
    <cfRule type="containsText" dxfId="3005" priority="20167" operator="containsText" text="PRIORIDAD">
      <formula>NOT(ISERROR(SEARCH("PRIORIDAD",Y34)))</formula>
    </cfRule>
    <cfRule type="containsText" dxfId="3004" priority="20174" operator="containsText" text="ENTREGADO">
      <formula>NOT(ISERROR(SEARCH("ENTREGADO",#REF!)))</formula>
    </cfRule>
    <cfRule type="containsText" dxfId="3003" priority="20128" operator="containsText" text="ENTREGADO">
      <formula>NOT(ISERROR(SEARCH("ENTREGADO",Y34)))</formula>
    </cfRule>
    <cfRule type="containsText" dxfId="3002" priority="20127" operator="containsText" text="ENTREGADO">
      <formula>NOT(ISERROR(SEARCH("ENTREGADO",Y34)))</formula>
    </cfRule>
    <cfRule type="containsText" dxfId="3001" priority="20168" operator="containsText" text="ENTREGADO">
      <formula>NOT(ISERROR(SEARCH("ENTREGADO",Y34)))</formula>
    </cfRule>
    <cfRule type="containsText" dxfId="3000" priority="20126" operator="containsText" text="PRIORIDAD">
      <formula>NOT(ISERROR(SEARCH("PRIORIDAD",Y34)))</formula>
    </cfRule>
    <cfRule type="containsText" dxfId="2999" priority="20166" operator="containsText" text="ENTREGADO">
      <formula>NOT(ISERROR(SEARCH("ENTREGADO",Y34)))</formula>
    </cfRule>
    <cfRule type="containsText" dxfId="2998" priority="20124" operator="containsText" text="ENTREGADO">
      <formula>NOT(ISERROR(SEARCH("ENTREGADO",Y34)))</formula>
    </cfRule>
    <cfRule type="containsText" dxfId="2997" priority="20165" operator="containsText" text="PENDIENTE">
      <formula>NOT(ISERROR(SEARCH("PENDIENTE",#REF!)))</formula>
    </cfRule>
    <cfRule type="containsText" dxfId="2996" priority="20164" operator="containsText" text="PENDIENTE">
      <formula>NOT(ISERROR(SEARCH("PENDIENTE",Y34)))</formula>
    </cfRule>
    <cfRule type="containsText" dxfId="2995" priority="20142" operator="containsText" text="ENTREGADO">
      <formula>NOT(ISERROR(SEARCH("ENTREGADO",#REF!)))</formula>
    </cfRule>
    <cfRule type="containsText" dxfId="2994" priority="20141" operator="containsText" text="ENTREGADO">
      <formula>NOT(ISERROR(SEARCH("ENTREGADO",Y34)))</formula>
    </cfRule>
    <cfRule type="containsText" dxfId="2993" priority="20140" operator="containsText" text="PENDIENTE">
      <formula>NOT(ISERROR(SEARCH("PENDIENTE",Y34)))</formula>
    </cfRule>
    <cfRule type="containsText" dxfId="2992" priority="20139" operator="containsText" text="PENDIENTE">
      <formula>NOT(ISERROR(SEARCH("PENDIENTE",#REF!)))</formula>
    </cfRule>
    <cfRule type="containsText" dxfId="2991" priority="20138" operator="containsText" text="ENTREGADO">
      <formula>NOT(ISERROR(SEARCH("ENTREGADO",Y34)))</formula>
    </cfRule>
    <cfRule type="containsText" dxfId="2990" priority="20123" operator="containsText" text="PENDIENTE">
      <formula>NOT(ISERROR(SEARCH("PENDIENTE",Y34)))</formula>
    </cfRule>
    <cfRule type="containsText" dxfId="2989" priority="20130" operator="containsText" text="ENTREGADO">
      <formula>NOT(ISERROR(SEARCH("ENTREGADO",Y34)))</formula>
    </cfRule>
    <cfRule type="containsText" dxfId="2988" priority="20172" operator="containsText" text="PENDIENTE">
      <formula>NOT(ISERROR(SEARCH("PENDIENTE",Y34)))</formula>
    </cfRule>
    <cfRule type="containsText" dxfId="2987" priority="20122" operator="containsText" text="ENTREGADO">
      <formula>NOT(ISERROR(SEARCH("ENTREGADO",Y34)))</formula>
    </cfRule>
    <cfRule type="containsText" dxfId="2986" priority="20120" operator="containsText" text="ENTREGADO">
      <formula>NOT(ISERROR(SEARCH("ENTREGADO",#REF!)))</formula>
    </cfRule>
    <cfRule type="containsText" dxfId="2985" priority="20119" operator="containsText" text="ENTREGADO">
      <formula>NOT(ISERROR(SEARCH("ENTREGADO",Y34)))</formula>
    </cfRule>
    <cfRule type="containsText" dxfId="2984" priority="20118" operator="containsText" text="PENDIENTE">
      <formula>NOT(ISERROR(SEARCH("PENDIENTE",Y34)))</formula>
    </cfRule>
    <cfRule type="containsText" dxfId="2983" priority="20110" operator="containsText" text="PENDIENTE">
      <formula>NOT(ISERROR(SEARCH("PENDIENTE",#REF!)))</formula>
    </cfRule>
    <cfRule type="containsText" dxfId="2982" priority="20131" operator="containsText" text="ENTREGADO">
      <formula>NOT(ISERROR(SEARCH("ENTREGADO",Y34)))</formula>
    </cfRule>
    <cfRule type="containsText" dxfId="2981" priority="20117" operator="containsText" text="PENDIENTE">
      <formula>NOT(ISERROR(SEARCH("PENDIENTE",#REF!)))</formula>
    </cfRule>
    <cfRule type="containsText" dxfId="2980" priority="20116" operator="containsText" text="ENTREGADO">
      <formula>NOT(ISERROR(SEARCH("ENTREGADO",Y34)))</formula>
    </cfRule>
    <cfRule type="containsText" dxfId="2979" priority="20115" operator="containsText" text="ENTREGADO">
      <formula>NOT(ISERROR(SEARCH("ENTREGADO",#REF!)))</formula>
    </cfRule>
    <cfRule type="containsText" dxfId="2978" priority="20114" operator="containsText" text="ENTREGADO">
      <formula>NOT(ISERROR(SEARCH("ENTREGADO",Y34)))</formula>
    </cfRule>
    <cfRule type="containsText" dxfId="2977" priority="20113" operator="containsText" text="PRIORIDAD">
      <formula>NOT(ISERROR(SEARCH("PRIORIDAD",Y34)))</formula>
    </cfRule>
    <cfRule type="containsText" dxfId="2976" priority="20112" operator="containsText" text="ENTREGADO">
      <formula>NOT(ISERROR(SEARCH("ENTREGADO",Y34)))</formula>
    </cfRule>
    <cfRule type="containsText" dxfId="2975" priority="20134" operator="containsText" text="ENTREGADO">
      <formula>NOT(ISERROR(SEARCH("ENTREGADO",Y34)))</formula>
    </cfRule>
    <cfRule type="containsText" dxfId="2974" priority="20133" operator="containsText" text="PENDIENTE">
      <formula>NOT(ISERROR(SEARCH("PENDIENTE",Y34)))</formula>
    </cfRule>
    <cfRule type="containsText" dxfId="2973" priority="20135" operator="containsText" text="PRIORIDAD">
      <formula>NOT(ISERROR(SEARCH("PRIORIDAD",Y34)))</formula>
    </cfRule>
    <cfRule type="containsText" dxfId="2972" priority="20129" operator="containsText" text="PENDIENTE">
      <formula>NOT(ISERROR(SEARCH("PENDIENTE",Y34)))</formula>
    </cfRule>
    <cfRule type="containsText" dxfId="2971" priority="20132" operator="containsText" text="PENDIENTE">
      <formula>NOT(ISERROR(SEARCH("PENDIENTE",#REF!)))</formula>
    </cfRule>
    <cfRule type="containsText" dxfId="2970" priority="20136" operator="containsText" text="ENTREGADO">
      <formula>NOT(ISERROR(SEARCH("ENTREGADO",Y34)))</formula>
    </cfRule>
  </conditionalFormatting>
  <conditionalFormatting sqref="Y34:Z34 AB34:AD34">
    <cfRule type="containsText" dxfId="2969" priority="20169" operator="containsText" text="ENTREGADO">
      <formula>NOT(ISERROR(SEARCH("ENTREGADO",#REF!)))</formula>
    </cfRule>
    <cfRule type="containsText" dxfId="2968" priority="20173" operator="containsText" text="ENTREGADO">
      <formula>NOT(ISERROR(SEARCH("ENTREGADO",Y34)))</formula>
    </cfRule>
  </conditionalFormatting>
  <conditionalFormatting sqref="Y34:Z35 AB34:AC35">
    <cfRule type="containsText" dxfId="2967" priority="17272" operator="containsText" text="PENDIENTE">
      <formula>NOT(ISERROR(SEARCH("PENDIENTE",Y34)))</formula>
    </cfRule>
    <cfRule type="containsText" dxfId="2966" priority="17267" operator="containsText" text="ENTREGADO">
      <formula>NOT(ISERROR(SEARCH("ENTREGADO",Y34)))</formula>
    </cfRule>
  </conditionalFormatting>
  <conditionalFormatting sqref="Y35:Z35 AB35:AC35">
    <cfRule type="containsText" dxfId="2965" priority="17265" operator="containsText" text="ENTREGADO">
      <formula>NOT(ISERROR(SEARCH("ENTREGADO",Y35)))</formula>
    </cfRule>
    <cfRule type="containsText" dxfId="2964" priority="17263" operator="containsText" text="ENTREGADO">
      <formula>NOT(ISERROR(SEARCH("ENTREGADO",Y35)))</formula>
    </cfRule>
    <cfRule type="containsText" dxfId="2963" priority="17269" operator="containsText" text="PENDIENTE">
      <formula>NOT(ISERROR(SEARCH("PENDIENTE",Y35)))</formula>
    </cfRule>
    <cfRule type="containsText" dxfId="2962" priority="17268" operator="containsText" text="PENDIENTE">
      <formula>NOT(ISERROR(SEARCH("PENDIENTE",#REF!)))</formula>
    </cfRule>
    <cfRule type="containsText" dxfId="2961" priority="17261" operator="containsText" text="PENDIENTE">
      <formula>NOT(ISERROR(SEARCH("PENDIENTE",#REF!)))</formula>
    </cfRule>
    <cfRule type="containsText" dxfId="2960" priority="17266" operator="containsText" text="ENTREGADO">
      <formula>NOT(ISERROR(SEARCH("ENTREGADO",#REF!)))</formula>
    </cfRule>
  </conditionalFormatting>
  <conditionalFormatting sqref="Y35:Z36 AB35:AC36">
    <cfRule type="containsText" dxfId="2959" priority="17152" operator="containsText" text="PENDIENTE">
      <formula>NOT(ISERROR(SEARCH("PENDIENTE",Y35)))</formula>
    </cfRule>
    <cfRule type="containsText" dxfId="2958" priority="17147" operator="containsText" text="ENTREGADO">
      <formula>NOT(ISERROR(SEARCH("ENTREGADO",Y35)))</formula>
    </cfRule>
  </conditionalFormatting>
  <conditionalFormatting sqref="Y36:Z36 AB36:AC36">
    <cfRule type="containsText" dxfId="2957" priority="17151" operator="containsText" text="ENTREGADO">
      <formula>NOT(ISERROR(SEARCH("ENTREGADO",#REF!)))</formula>
    </cfRule>
    <cfRule type="containsText" dxfId="2956" priority="17149" operator="containsText" text="PENDIENTE">
      <formula>NOT(ISERROR(SEARCH("PENDIENTE",Y36)))</formula>
    </cfRule>
    <cfRule type="containsText" dxfId="2955" priority="17148" operator="containsText" text="PENDIENTE">
      <formula>NOT(ISERROR(SEARCH("PENDIENTE",#REF!)))</formula>
    </cfRule>
    <cfRule type="containsText" dxfId="2954" priority="17145" operator="containsText" text="ENTREGADO">
      <formula>NOT(ISERROR(SEARCH("ENTREGADO",Y36)))</formula>
    </cfRule>
    <cfRule type="containsText" dxfId="2953" priority="17143" operator="containsText" text="ENTREGADO">
      <formula>NOT(ISERROR(SEARCH("ENTREGADO",Y36)))</formula>
    </cfRule>
  </conditionalFormatting>
  <conditionalFormatting sqref="Y36:Z37 AB36:AC37">
    <cfRule type="containsText" dxfId="2952" priority="15729" operator="containsText" text="PENDIENTE">
      <formula>NOT(ISERROR(SEARCH("PENDIENTE",#REF!)))</formula>
    </cfRule>
    <cfRule type="containsText" dxfId="2951" priority="15728" operator="containsText" text="ENTREGADO">
      <formula>NOT(ISERROR(SEARCH("ENTREGADO",Y36)))</formula>
    </cfRule>
    <cfRule type="containsText" dxfId="2950" priority="15733" operator="containsText" text="PENDIENTE">
      <formula>NOT(ISERROR(SEARCH("PENDIENTE",Y36)))</formula>
    </cfRule>
  </conditionalFormatting>
  <conditionalFormatting sqref="Y37:Z37 AB37:AC37">
    <cfRule type="containsText" dxfId="2949" priority="15732" operator="containsText" text="ENTREGADO">
      <formula>NOT(ISERROR(SEARCH("ENTREGADO",#REF!)))</formula>
    </cfRule>
    <cfRule type="containsText" dxfId="2948" priority="15730" operator="containsText" text="PENDIENTE">
      <formula>NOT(ISERROR(SEARCH("PENDIENTE",Y37)))</formula>
    </cfRule>
    <cfRule type="containsText" dxfId="2947" priority="15726" operator="containsText" text="ENTREGADO">
      <formula>NOT(ISERROR(SEARCH("ENTREGADO",Y37)))</formula>
    </cfRule>
    <cfRule type="containsText" dxfId="2946" priority="15724" operator="containsText" text="ENTREGADO">
      <formula>NOT(ISERROR(SEARCH("ENTREGADO",Y37)))</formula>
    </cfRule>
  </conditionalFormatting>
  <conditionalFormatting sqref="Y37:Z38 AB37:AC38">
    <cfRule type="containsText" dxfId="2945" priority="15600" operator="containsText" text="PENDIENTE">
      <formula>NOT(ISERROR(SEARCH("PENDIENTE",#REF!)))</formula>
    </cfRule>
    <cfRule type="containsText" dxfId="2944" priority="15604" operator="containsText" text="PENDIENTE">
      <formula>NOT(ISERROR(SEARCH("PENDIENTE",Y37)))</formula>
    </cfRule>
    <cfRule type="containsText" dxfId="2943" priority="15599" operator="containsText" text="ENTREGADO">
      <formula>NOT(ISERROR(SEARCH("ENTREGADO",Y37)))</formula>
    </cfRule>
  </conditionalFormatting>
  <conditionalFormatting sqref="Y38:Z38 AB38:AC38 AB40:AC40 Y40:Z40">
    <cfRule type="containsText" dxfId="2942" priority="7206" operator="containsText" text="PENDIENTE">
      <formula>NOT(ISERROR(SEARCH("PENDIENTE",Y38)))</formula>
    </cfRule>
    <cfRule type="containsText" dxfId="2941" priority="7204" operator="containsText" text="ENTREGADO">
      <formula>NOT(ISERROR(SEARCH("ENTREGADO",Y38)))</formula>
    </cfRule>
  </conditionalFormatting>
  <conditionalFormatting sqref="Y38:Z38 AB38:AC38">
    <cfRule type="containsText" dxfId="2940" priority="15595" operator="containsText" text="ENTREGADO">
      <formula>NOT(ISERROR(SEARCH("ENTREGADO",Y38)))</formula>
    </cfRule>
    <cfRule type="containsText" dxfId="2939" priority="15593" operator="containsText" text="PENDIENTE">
      <formula>NOT(ISERROR(SEARCH("PENDIENTE",#REF!)))</formula>
    </cfRule>
    <cfRule type="containsText" dxfId="2938" priority="15603" operator="containsText" text="ENTREGADO">
      <formula>NOT(ISERROR(SEARCH("ENTREGADO",#REF!)))</formula>
    </cfRule>
    <cfRule type="containsText" dxfId="2937" priority="15601" operator="containsText" text="PENDIENTE">
      <formula>NOT(ISERROR(SEARCH("PENDIENTE",Y38)))</formula>
    </cfRule>
    <cfRule type="containsText" dxfId="2936" priority="15597" operator="containsText" text="ENTREGADO">
      <formula>NOT(ISERROR(SEARCH("ENTREGADO",Y38)))</formula>
    </cfRule>
  </conditionalFormatting>
  <conditionalFormatting sqref="Y39:Z39 AB39:AC39">
    <cfRule type="containsText" dxfId="2935" priority="3963" operator="containsText" text="PENDIENTE">
      <formula>NOT(ISERROR(SEARCH("PENDIENTE",Y39)))</formula>
    </cfRule>
    <cfRule type="containsText" dxfId="2934" priority="3962" operator="containsText" text="ENTREGADO">
      <formula>NOT(ISERROR(SEARCH("ENTREGADO",Y39)))</formula>
    </cfRule>
    <cfRule type="containsText" dxfId="2933" priority="3964" operator="containsText" text="PENDIENTE">
      <formula>NOT(ISERROR(SEARCH("PENDIENTE",#REF!)))</formula>
    </cfRule>
    <cfRule type="containsText" dxfId="2932" priority="3965" operator="containsText" text="ENTREGADO">
      <formula>NOT(ISERROR(SEARCH("ENTREGADO",Y39)))</formula>
    </cfRule>
    <cfRule type="containsText" dxfId="2931" priority="3966" operator="containsText" text="PRIORIDAD">
      <formula>NOT(ISERROR(SEARCH("PRIORIDAD",Y39)))</formula>
    </cfRule>
    <cfRule type="containsText" dxfId="2930" priority="3967" operator="containsText" text="ENTREGADO">
      <formula>NOT(ISERROR(SEARCH("ENTREGADO",Y39)))</formula>
    </cfRule>
    <cfRule type="containsText" dxfId="2929" priority="3971" operator="containsText" text="PENDIENTE">
      <formula>NOT(ISERROR(SEARCH("PENDIENTE",Y39)))</formula>
    </cfRule>
    <cfRule type="containsText" dxfId="2928" priority="3968" operator="containsText" text="ENTREGADO">
      <formula>NOT(ISERROR(SEARCH("ENTREGADO",#REF!)))</formula>
    </cfRule>
    <cfRule type="containsText" dxfId="2927" priority="3969" operator="containsText" text="ENTREGADO">
      <formula>NOT(ISERROR(SEARCH("ENTREGADO",Y39)))</formula>
    </cfRule>
    <cfRule type="containsText" dxfId="2926" priority="3970" operator="containsText" text="PENDIENTE">
      <formula>NOT(ISERROR(SEARCH("PENDIENTE",#REF!)))</formula>
    </cfRule>
    <cfRule type="containsText" dxfId="2925" priority="3972" operator="containsText" text="ENTREGADO">
      <formula>NOT(ISERROR(SEARCH("ENTREGADO",Y39)))</formula>
    </cfRule>
    <cfRule type="containsText" dxfId="2924" priority="3974" operator="containsText" text="PENDIENTE">
      <formula>NOT(ISERROR(SEARCH("PENDIENTE",Y39)))</formula>
    </cfRule>
    <cfRule type="containsText" dxfId="2923" priority="3973" operator="containsText" text="ENTREGADO">
      <formula>NOT(ISERROR(SEARCH("ENTREGADO",#REF!)))</formula>
    </cfRule>
  </conditionalFormatting>
  <conditionalFormatting sqref="Y40:Z40 AB40:AC40">
    <cfRule type="containsText" dxfId="2922" priority="7158" operator="containsText" text="ENTREGADO">
      <formula>NOT(ISERROR(SEARCH("ENTREGADO",Y40)))</formula>
    </cfRule>
    <cfRule type="containsText" dxfId="2921" priority="7157" operator="containsText" text="PENDIENTE">
      <formula>NOT(ISERROR(SEARCH("PENDIENTE",Y40)))</formula>
    </cfRule>
    <cfRule type="containsText" dxfId="2920" priority="7156" operator="containsText" text="ENTREGADO">
      <formula>NOT(ISERROR(SEARCH("ENTREGADO",Y40)))</formula>
    </cfRule>
    <cfRule type="containsText" dxfId="2919" priority="7155" operator="containsText" text="ENTREGADO">
      <formula>NOT(ISERROR(SEARCH("ENTREGADO",#REF!)))</formula>
    </cfRule>
    <cfRule type="containsText" dxfId="2918" priority="7154" operator="containsText" text="ENTREGADO">
      <formula>NOT(ISERROR(SEARCH("ENTREGADO",#REF!)))</formula>
    </cfRule>
    <cfRule type="containsText" dxfId="2917" priority="7150" operator="containsText" text="ENTREGADO">
      <formula>NOT(ISERROR(SEARCH("ENTREGADO",Y40)))</formula>
    </cfRule>
    <cfRule type="containsText" dxfId="2916" priority="7151" operator="containsText" text="PENDIENTE">
      <formula>NOT(ISERROR(SEARCH("PENDIENTE",#REF!)))</formula>
    </cfRule>
    <cfRule type="containsText" dxfId="2915" priority="7168" operator="containsText" text="ENTREGADO">
      <formula>NOT(ISERROR(SEARCH("ENTREGADO",Y40)))</formula>
    </cfRule>
    <cfRule type="containsText" dxfId="2914" priority="7152" operator="containsText" text="PENDIENTE">
      <formula>NOT(ISERROR(SEARCH("PENDIENTE",Y40)))</formula>
    </cfRule>
    <cfRule type="containsText" dxfId="2913" priority="7170" operator="containsText" text="ENTREGADO">
      <formula>NOT(ISERROR(SEARCH("ENTREGADO",Y40)))</formula>
    </cfRule>
    <cfRule type="containsText" dxfId="2912" priority="7171" operator="containsText" text="ENTREGADO">
      <formula>NOT(ISERROR(SEARCH("ENTREGADO",#REF!)))</formula>
    </cfRule>
    <cfRule type="containsText" dxfId="2911" priority="7172" operator="containsText" text="ENTREGADO">
      <formula>NOT(ISERROR(SEARCH("ENTREGADO",Y40)))</formula>
    </cfRule>
    <cfRule type="containsText" dxfId="2910" priority="7173" operator="containsText" text="PENDIENTE">
      <formula>NOT(ISERROR(SEARCH("PENDIENTE",#REF!)))</formula>
    </cfRule>
    <cfRule type="containsText" dxfId="2909" priority="7174" operator="containsText" text="PENDIENTE">
      <formula>NOT(ISERROR(SEARCH("PENDIENTE",Y40)))</formula>
    </cfRule>
    <cfRule type="containsText" dxfId="2908" priority="7153" operator="containsText" text="ENTREGADO">
      <formula>NOT(ISERROR(SEARCH("ENTREGADO",Y40)))</formula>
    </cfRule>
    <cfRule type="containsText" dxfId="2907" priority="7176" operator="containsText" text="ENTREGADO">
      <formula>NOT(ISERROR(SEARCH("ENTREGADO",#REF!)))</formula>
    </cfRule>
    <cfRule type="containsText" dxfId="2906" priority="7164" operator="containsText" text="ENTREGADO">
      <formula>NOT(ISERROR(SEARCH("ENTREGADO",Y40)))</formula>
    </cfRule>
    <cfRule type="containsText" dxfId="2905" priority="7163" operator="containsText" text="PENDIENTE">
      <formula>NOT(ISERROR(SEARCH("PENDIENTE",Y40)))</formula>
    </cfRule>
    <cfRule type="containsText" dxfId="2904" priority="7162" operator="containsText" text="ENTREGADO">
      <formula>NOT(ISERROR(SEARCH("ENTREGADO",Y40)))</formula>
    </cfRule>
    <cfRule type="containsText" dxfId="2903" priority="7175" operator="containsText" text="ENTREGADO">
      <formula>NOT(ISERROR(SEARCH("ENTREGADO",Y40)))</formula>
    </cfRule>
    <cfRule type="containsText" dxfId="2902" priority="7147" operator="containsText" text="PRIORIDAD">
      <formula>NOT(ISERROR(SEARCH("PRIORIDAD",Y40)))</formula>
    </cfRule>
    <cfRule type="containsText" dxfId="2901" priority="7148" operator="containsText" text="ENTREGADO">
      <formula>NOT(ISERROR(SEARCH("ENTREGADO",Y40)))</formula>
    </cfRule>
    <cfRule type="containsText" dxfId="2900" priority="7161" operator="containsText" text="ENTREGADO">
      <formula>NOT(ISERROR(SEARCH("ENTREGADO",Y40)))</formula>
    </cfRule>
    <cfRule type="containsText" dxfId="2899" priority="7149" operator="containsText" text="ENTREGADO">
      <formula>NOT(ISERROR(SEARCH("ENTREGADO",#REF!)))</formula>
    </cfRule>
    <cfRule type="containsText" dxfId="2898" priority="7146" operator="containsText" text="ENTREGADO">
      <formula>NOT(ISERROR(SEARCH("ENTREGADO",Y40)))</formula>
    </cfRule>
    <cfRule type="containsText" dxfId="2897" priority="7145" operator="containsText" text="PENDIENTE">
      <formula>NOT(ISERROR(SEARCH("PENDIENTE",Y40)))</formula>
    </cfRule>
    <cfRule type="containsText" dxfId="2896" priority="7143" operator="containsText" text="ENTREGADO">
      <formula>NOT(ISERROR(SEARCH("ENTREGADO",Y40)))</formula>
    </cfRule>
    <cfRule type="containsText" dxfId="2895" priority="7144" operator="containsText" text="PENDIENTE">
      <formula>NOT(ISERROR(SEARCH("PENDIENTE",#REF!)))</formula>
    </cfRule>
    <cfRule type="containsText" dxfId="2894" priority="7198" operator="containsText" text="PENDIENTE">
      <formula>NOT(ISERROR(SEARCH("PENDIENTE",Y40)))</formula>
    </cfRule>
    <cfRule type="containsText" dxfId="2893" priority="7199" operator="containsText" text="PENDIENTE">
      <formula>NOT(ISERROR(SEARCH("PENDIENTE",#REF!)))</formula>
    </cfRule>
    <cfRule type="containsText" dxfId="2892" priority="7200" operator="containsText" text="ENTREGADO">
      <formula>NOT(ISERROR(SEARCH("ENTREGADO",Y40)))</formula>
    </cfRule>
    <cfRule type="containsText" dxfId="2891" priority="7160" operator="containsText" text="PRIORIDAD">
      <formula>NOT(ISERROR(SEARCH("PRIORIDAD",Y40)))</formula>
    </cfRule>
    <cfRule type="containsText" dxfId="2890" priority="7201" operator="containsText" text="PRIORIDAD">
      <formula>NOT(ISERROR(SEARCH("PRIORIDAD",Y40)))</formula>
    </cfRule>
    <cfRule type="containsText" dxfId="2889" priority="7202" operator="containsText" text="ENTREGADO">
      <formula>NOT(ISERROR(SEARCH("ENTREGADO",Y40)))</formula>
    </cfRule>
    <cfRule type="containsText" dxfId="2888" priority="7169" operator="containsText" text="PRIORIDAD">
      <formula>NOT(ISERROR(SEARCH("PRIORIDAD",Y40)))</formula>
    </cfRule>
    <cfRule type="containsText" dxfId="2887" priority="7203" operator="containsText" text="ENTREGADO">
      <formula>NOT(ISERROR(SEARCH("ENTREGADO",#REF!)))</formula>
    </cfRule>
    <cfRule type="containsText" dxfId="2886" priority="7165" operator="containsText" text="ENTREGADO">
      <formula>NOT(ISERROR(SEARCH("ENTREGADO",Y40)))</formula>
    </cfRule>
    <cfRule type="containsText" dxfId="2885" priority="7205" operator="containsText" text="PENDIENTE">
      <formula>NOT(ISERROR(SEARCH("PENDIENTE",#REF!)))</formula>
    </cfRule>
    <cfRule type="containsText" dxfId="2884" priority="7166" operator="containsText" text="PENDIENTE">
      <formula>NOT(ISERROR(SEARCH("PENDIENTE",#REF!)))</formula>
    </cfRule>
    <cfRule type="containsText" dxfId="2883" priority="7207" operator="containsText" text="ENTREGADO">
      <formula>NOT(ISERROR(SEARCH("ENTREGADO",Y40)))</formula>
    </cfRule>
    <cfRule type="containsText" dxfId="2882" priority="7208" operator="containsText" text="ENTREGADO">
      <formula>NOT(ISERROR(SEARCH("ENTREGADO",#REF!)))</formula>
    </cfRule>
    <cfRule type="containsText" dxfId="2881" priority="7159" operator="containsText" text="PENDIENTE">
      <formula>NOT(ISERROR(SEARCH("PENDIENTE",#REF!)))</formula>
    </cfRule>
    <cfRule type="containsText" dxfId="2880" priority="7167" operator="containsText" text="PENDIENTE">
      <formula>NOT(ISERROR(SEARCH("PENDIENTE",Y40)))</formula>
    </cfRule>
  </conditionalFormatting>
  <conditionalFormatting sqref="Y41:Z41 AB41:AC41">
    <cfRule type="containsText" dxfId="2879" priority="3643" operator="containsText" text="ENTREGADO">
      <formula>NOT(ISERROR(SEARCH("ENTREGADO",Y41)))</formula>
    </cfRule>
    <cfRule type="containsText" dxfId="2878" priority="3642" operator="containsText" text="PRIORIDAD">
      <formula>NOT(ISERROR(SEARCH("PRIORIDAD",Y41)))</formula>
    </cfRule>
    <cfRule type="containsText" dxfId="2877" priority="3641" operator="containsText" text="PENDIENTE">
      <formula>NOT(ISERROR(SEARCH("PENDIENTE",Y41)))</formula>
    </cfRule>
    <cfRule type="containsText" dxfId="2876" priority="3640" operator="containsText" text="PENDIENTE">
      <formula>NOT(ISERROR(SEARCH("PENDIENTE",#REF!)))</formula>
    </cfRule>
    <cfRule type="containsText" dxfId="2875" priority="3621" operator="containsText" text="ENTREGADO">
      <formula>NOT(ISERROR(SEARCH("ENTREGADO",Y41)))</formula>
    </cfRule>
  </conditionalFormatting>
  <conditionalFormatting sqref="Y42:Z44 AB42:AC44">
    <cfRule type="containsText" dxfId="2874" priority="12826" operator="containsText" text="PENDIENTE">
      <formula>NOT(ISERROR(SEARCH("PENDIENTE",Y42)))</formula>
    </cfRule>
    <cfRule type="containsText" dxfId="2873" priority="12823" operator="containsText" text="PENDIENTE">
      <formula>NOT(ISERROR(SEARCH("PENDIENTE",Y42)))</formula>
    </cfRule>
    <cfRule type="containsText" dxfId="2872" priority="12822" operator="containsText" text="PENDIENTE">
      <formula>NOT(ISERROR(SEARCH("PENDIENTE",#REF!)))</formula>
    </cfRule>
    <cfRule type="containsText" dxfId="2871" priority="12821" operator="containsText" text="ENTREGADO">
      <formula>NOT(ISERROR(SEARCH("ENTREGADO",Y42)))</formula>
    </cfRule>
    <cfRule type="containsText" dxfId="2870" priority="12820" operator="containsText" text="ENTREGADO">
      <formula>NOT(ISERROR(SEARCH("ENTREGADO",#REF!)))</formula>
    </cfRule>
    <cfRule type="containsText" dxfId="2869" priority="12819" operator="containsText" text="ENTREGADO">
      <formula>NOT(ISERROR(SEARCH("ENTREGADO",Y42)))</formula>
    </cfRule>
    <cfRule type="containsText" dxfId="2868" priority="12817" operator="containsText" text="ENTREGADO">
      <formula>NOT(ISERROR(SEARCH("ENTREGADO",Y42)))</formula>
    </cfRule>
    <cfRule type="containsText" dxfId="2867" priority="12815" operator="containsText" text="PENDIENTE">
      <formula>NOT(ISERROR(SEARCH("PENDIENTE",#REF!)))</formula>
    </cfRule>
  </conditionalFormatting>
  <conditionalFormatting sqref="Y42:Z45 AB42:AC45">
    <cfRule type="containsText" dxfId="2866" priority="11666" operator="containsText" text="PENDIENTE">
      <formula>NOT(ISERROR(SEARCH("PENDIENTE",Y42)))</formula>
    </cfRule>
    <cfRule type="containsText" dxfId="2865" priority="11661" operator="containsText" text="ENTREGADO">
      <formula>NOT(ISERROR(SEARCH("ENTREGADO",Y42)))</formula>
    </cfRule>
  </conditionalFormatting>
  <conditionalFormatting sqref="Y45:Z45 AB45:AC45">
    <cfRule type="containsText" dxfId="2864" priority="11657" operator="containsText" text="ENTREGADO">
      <formula>NOT(ISERROR(SEARCH("ENTREGADO",Y45)))</formula>
    </cfRule>
    <cfRule type="containsText" dxfId="2863" priority="11659" operator="containsText" text="ENTREGADO">
      <formula>NOT(ISERROR(SEARCH("ENTREGADO",Y45)))</formula>
    </cfRule>
    <cfRule type="containsText" dxfId="2862" priority="11662" operator="containsText" text="PENDIENTE">
      <formula>NOT(ISERROR(SEARCH("PENDIENTE",#REF!)))</formula>
    </cfRule>
    <cfRule type="containsText" dxfId="2861" priority="11665" operator="containsText" text="ENTREGADO">
      <formula>NOT(ISERROR(SEARCH("ENTREGADO",#REF!)))</formula>
    </cfRule>
    <cfRule type="containsText" dxfId="2860" priority="9180" operator="containsText" text="ENTREGADO">
      <formula>NOT(ISERROR(SEARCH("ENTREGADO",Y45)))</formula>
    </cfRule>
    <cfRule type="containsText" dxfId="2859" priority="11655" operator="containsText" text="PENDIENTE">
      <formula>NOT(ISERROR(SEARCH("PENDIENTE",#REF!)))</formula>
    </cfRule>
    <cfRule type="containsText" dxfId="2858" priority="9185" operator="containsText" text="PENDIENTE">
      <formula>NOT(ISERROR(SEARCH("PENDIENTE",Y45)))</formula>
    </cfRule>
    <cfRule type="containsText" dxfId="2857" priority="11663" operator="containsText" text="PENDIENTE">
      <formula>NOT(ISERROR(SEARCH("PENDIENTE",Y45)))</formula>
    </cfRule>
  </conditionalFormatting>
  <conditionalFormatting sqref="Y46:Z49 AB46:AC49">
    <cfRule type="containsText" dxfId="2856" priority="4404" operator="containsText" text="ENTREGADO">
      <formula>NOT(ISERROR(SEARCH("ENTREGADO",Y46)))</formula>
    </cfRule>
    <cfRule type="containsText" dxfId="2855" priority="4402" operator="containsText" text="ENTREGADO">
      <formula>NOT(ISERROR(SEARCH("ENTREGADO",Y46)))</formula>
    </cfRule>
    <cfRule type="containsText" dxfId="2854" priority="4400" operator="containsText" text="ENTREGADO">
      <formula>NOT(ISERROR(SEARCH("ENTREGADO",Y46)))</formula>
    </cfRule>
    <cfRule type="containsText" dxfId="2853" priority="4399" operator="containsText" text="PENDIENTE">
      <formula>NOT(ISERROR(SEARCH("PENDIENTE",#REF!)))</formula>
    </cfRule>
    <cfRule type="containsText" dxfId="2852" priority="4378" operator="containsText" text="PENDIENTE">
      <formula>NOT(ISERROR(SEARCH("PENDIENTE",Y46)))</formula>
    </cfRule>
    <cfRule type="containsText" dxfId="2851" priority="4409" operator="containsText" text="PENDIENTE">
      <formula>NOT(ISERROR(SEARCH("PENDIENTE",Y46)))</formula>
    </cfRule>
    <cfRule type="containsText" dxfId="2850" priority="4406" operator="containsText" text="PENDIENTE">
      <formula>NOT(ISERROR(SEARCH("PENDIENTE",Y46)))</formula>
    </cfRule>
    <cfRule type="containsText" dxfId="2849" priority="4405" operator="containsText" text="PENDIENTE">
      <formula>NOT(ISERROR(SEARCH("PENDIENTE",#REF!)))</formula>
    </cfRule>
    <cfRule type="containsText" dxfId="2848" priority="4377" operator="containsText" text="ENTREGADO">
      <formula>NOT(ISERROR(SEARCH("ENTREGADO",Y46)))</formula>
    </cfRule>
    <cfRule type="containsText" dxfId="2847" priority="4408" operator="containsText" text="ENTREGADO">
      <formula>NOT(ISERROR(SEARCH("ENTREGADO",#REF!)))</formula>
    </cfRule>
  </conditionalFormatting>
  <conditionalFormatting sqref="Y50:Z50 AB50:AC50 Y62:Z69 AB62:AC69">
    <cfRule type="containsText" dxfId="2846" priority="6248" operator="containsText" text="ENTREGADO">
      <formula>NOT(ISERROR(SEARCH("ENTREGADO",Y50)))</formula>
    </cfRule>
    <cfRule type="containsText" dxfId="2845" priority="6249" operator="containsText" text="ENTREGADO">
      <formula>NOT(ISERROR(SEARCH("ENTREGADO",Y50)))</formula>
    </cfRule>
    <cfRule type="containsText" dxfId="2844" priority="6256" operator="containsText" text="ENTREGADO">
      <formula>NOT(ISERROR(SEARCH("ENTREGADO",#REF!)))</formula>
    </cfRule>
    <cfRule type="containsText" dxfId="2843" priority="6268" operator="containsText" text="PENDIENTE">
      <formula>NOT(ISERROR(SEARCH("PENDIENTE",#REF!)))</formula>
    </cfRule>
    <cfRule type="containsText" dxfId="2842" priority="6269" operator="containsText" text="PENDIENTE">
      <formula>NOT(ISERROR(SEARCH("PENDIENTE",Y50)))</formula>
    </cfRule>
    <cfRule type="containsText" dxfId="2841" priority="6271" operator="containsText" text="ENTREGADO">
      <formula>NOT(ISERROR(SEARCH("ENTREGADO",Y50)))</formula>
    </cfRule>
    <cfRule type="containsText" dxfId="2840" priority="6270" operator="containsText" text="PRIORIDAD">
      <formula>NOT(ISERROR(SEARCH("PRIORIDAD",Y50)))</formula>
    </cfRule>
  </conditionalFormatting>
  <conditionalFormatting sqref="Y59:Z59 AB59:AC59">
    <cfRule type="containsText" dxfId="2839" priority="3474" operator="containsText" text="ENTREGADO">
      <formula>NOT(ISERROR(SEARCH("ENTREGADO",#REF!)))</formula>
    </cfRule>
    <cfRule type="containsText" dxfId="2838" priority="3489" operator="containsText" text="ENTREGADO">
      <formula>NOT(ISERROR(SEARCH("ENTREGADO",Y59)))</formula>
    </cfRule>
    <cfRule type="containsText" dxfId="2837" priority="3487" operator="containsText" text="PENDIENTE">
      <formula>NOT(ISERROR(SEARCH("PENDIENTE",Y59)))</formula>
    </cfRule>
    <cfRule type="containsText" dxfId="2836" priority="3486" operator="containsText" text="PENDIENTE">
      <formula>NOT(ISERROR(SEARCH("PENDIENTE",#REF!)))</formula>
    </cfRule>
    <cfRule type="containsText" dxfId="2835" priority="3466" operator="containsText" text="ENTREGADO">
      <formula>NOT(ISERROR(SEARCH("ENTREGADO",Y59)))</formula>
    </cfRule>
    <cfRule type="containsText" dxfId="2834" priority="3467" operator="containsText" text="ENTREGADO">
      <formula>NOT(ISERROR(SEARCH("ENTREGADO",Y59)))</formula>
    </cfRule>
  </conditionalFormatting>
  <conditionalFormatting sqref="Y60:Z60 AB60:AC60">
    <cfRule type="containsText" dxfId="2833" priority="4654" operator="containsText" text="PENDIENTE">
      <formula>NOT(ISERROR(SEARCH("PENDIENTE",Y60)))</formula>
    </cfRule>
    <cfRule type="containsText" dxfId="2832" priority="4656" operator="containsText" text="ENTREGADO">
      <formula>NOT(ISERROR(SEARCH("ENTREGADO",Y60)))</formula>
    </cfRule>
    <cfRule type="containsText" dxfId="2831" priority="4633" operator="containsText" text="ENTREGADO">
      <formula>NOT(ISERROR(SEARCH("ENTREGADO",Y60)))</formula>
    </cfRule>
    <cfRule type="containsText" dxfId="2830" priority="4634" operator="containsText" text="ENTREGADO">
      <formula>NOT(ISERROR(SEARCH("ENTREGADO",Y60)))</formula>
    </cfRule>
    <cfRule type="containsText" dxfId="2829" priority="4641" operator="containsText" text="ENTREGADO">
      <formula>NOT(ISERROR(SEARCH("ENTREGADO",#REF!)))</formula>
    </cfRule>
    <cfRule type="containsText" dxfId="2828" priority="4653" operator="containsText" text="PENDIENTE">
      <formula>NOT(ISERROR(SEARCH("PENDIENTE",#REF!)))</formula>
    </cfRule>
  </conditionalFormatting>
  <conditionalFormatting sqref="Y61:Z61 AB61:AC61">
    <cfRule type="containsText" dxfId="2827" priority="4502" operator="containsText" text="ENTREGADO">
      <formula>NOT(ISERROR(SEARCH("ENTREGADO",#REF!)))</formula>
    </cfRule>
    <cfRule type="containsText" dxfId="2826" priority="4517" operator="containsText" text="ENTREGADO">
      <formula>NOT(ISERROR(SEARCH("ENTREGADO",Y61)))</formula>
    </cfRule>
    <cfRule type="containsText" dxfId="2825" priority="4515" operator="containsText" text="PENDIENTE">
      <formula>NOT(ISERROR(SEARCH("PENDIENTE",Y61)))</formula>
    </cfRule>
    <cfRule type="containsText" dxfId="2824" priority="4514" operator="containsText" text="PENDIENTE">
      <formula>NOT(ISERROR(SEARCH("PENDIENTE",#REF!)))</formula>
    </cfRule>
    <cfRule type="containsText" dxfId="2823" priority="4495" operator="containsText" text="ENTREGADO">
      <formula>NOT(ISERROR(SEARCH("ENTREGADO",Y61)))</formula>
    </cfRule>
    <cfRule type="containsText" dxfId="2822" priority="4494" operator="containsText" text="ENTREGADO">
      <formula>NOT(ISERROR(SEARCH("ENTREGADO",Y61)))</formula>
    </cfRule>
  </conditionalFormatting>
  <conditionalFormatting sqref="Y70:Z70 AB70:AC70">
    <cfRule type="containsText" dxfId="2821" priority="5760" operator="containsText" text="ENTREGADO">
      <formula>NOT(ISERROR(SEARCH("ENTREGADO",Y70)))</formula>
    </cfRule>
    <cfRule type="containsText" dxfId="2820" priority="5780" operator="containsText" text="PENDIENTE">
      <formula>NOT(ISERROR(SEARCH("PENDIENTE",Y70)))</formula>
    </cfRule>
    <cfRule type="containsText" dxfId="2819" priority="5759" operator="containsText" text="ENTREGADO">
      <formula>NOT(ISERROR(SEARCH("ENTREGADO",Y70)))</formula>
    </cfRule>
    <cfRule type="containsText" dxfId="2818" priority="5767" operator="containsText" text="ENTREGADO">
      <formula>NOT(ISERROR(SEARCH("ENTREGADO",#REF!)))</formula>
    </cfRule>
    <cfRule type="containsText" dxfId="2817" priority="5782" operator="containsText" text="ENTREGADO">
      <formula>NOT(ISERROR(SEARCH("ENTREGADO",Y70)))</formula>
    </cfRule>
    <cfRule type="containsText" dxfId="2816" priority="5781" operator="containsText" text="PRIORIDAD">
      <formula>NOT(ISERROR(SEARCH("PRIORIDAD",Y70)))</formula>
    </cfRule>
    <cfRule type="containsText" dxfId="2815" priority="5779" operator="containsText" text="PENDIENTE">
      <formula>NOT(ISERROR(SEARCH("PENDIENTE",#REF!)))</formula>
    </cfRule>
  </conditionalFormatting>
  <conditionalFormatting sqref="Y71:Z71 AB71:AC71">
    <cfRule type="containsText" dxfId="2814" priority="9787" operator="containsText" text="PENDIENTE">
      <formula>NOT(ISERROR(SEARCH("PENDIENTE",#REF!)))</formula>
    </cfRule>
    <cfRule type="containsText" dxfId="2813" priority="9782" operator="containsText" text="ENTREGADO">
      <formula>NOT(ISERROR(SEARCH("ENTREGADO",Y71)))</formula>
    </cfRule>
    <cfRule type="containsText" dxfId="2812" priority="9780" operator="containsText" text="PENDIENTE">
      <formula>NOT(ISERROR(SEARCH("PENDIENTE",#REF!)))</formula>
    </cfRule>
    <cfRule type="containsText" dxfId="2811" priority="9786" operator="containsText" text="ENTREGADO">
      <formula>NOT(ISERROR(SEARCH("ENTREGADO",Y71)))</formula>
    </cfRule>
    <cfRule type="containsText" dxfId="2810" priority="9785" operator="containsText" text="ENTREGADO">
      <formula>NOT(ISERROR(SEARCH("ENTREGADO",#REF!)))</formula>
    </cfRule>
    <cfRule type="containsText" dxfId="2809" priority="9788" operator="containsText" text="PENDIENTE">
      <formula>NOT(ISERROR(SEARCH("PENDIENTE",Y71)))</formula>
    </cfRule>
    <cfRule type="containsText" dxfId="2808" priority="9784" operator="containsText" text="ENTREGADO">
      <formula>NOT(ISERROR(SEARCH("ENTREGADO",Y71)))</formula>
    </cfRule>
    <cfRule type="containsText" dxfId="2807" priority="9791" operator="containsText" text="PENDIENTE">
      <formula>NOT(ISERROR(SEARCH("PENDIENTE",Y71)))</formula>
    </cfRule>
    <cfRule type="containsText" dxfId="2806" priority="9790" operator="containsText" text="ENTREGADO">
      <formula>NOT(ISERROR(SEARCH("ENTREGADO",#REF!)))</formula>
    </cfRule>
    <cfRule type="containsText" dxfId="2805" priority="6125" operator="containsText" text="PENDIENTE">
      <formula>NOT(ISERROR(SEARCH("PENDIENTE",Y71)))</formula>
    </cfRule>
    <cfRule type="containsText" dxfId="2804" priority="9783" operator="containsText" text="PRIORIDAD">
      <formula>NOT(ISERROR(SEARCH("PRIORIDAD",Y71)))</formula>
    </cfRule>
    <cfRule type="containsText" dxfId="2803" priority="6119" operator="containsText" text="ENTREGADO">
      <formula>NOT(ISERROR(SEARCH("ENTREGADO",Y71)))</formula>
    </cfRule>
  </conditionalFormatting>
  <conditionalFormatting sqref="Y72:Z72 AB72:AC72">
    <cfRule type="containsText" dxfId="2802" priority="6244" operator="containsText" text="PRIORIDAD">
      <formula>NOT(ISERROR(SEARCH("PRIORIDAD",Y72)))</formula>
    </cfRule>
    <cfRule type="containsText" dxfId="2801" priority="6243" operator="containsText" text="PENDIENTE">
      <formula>NOT(ISERROR(SEARCH("PENDIENTE",Y72)))</formula>
    </cfRule>
    <cfRule type="containsText" dxfId="2800" priority="6242" operator="containsText" text="PENDIENTE">
      <formula>NOT(ISERROR(SEARCH("PENDIENTE",#REF!)))</formula>
    </cfRule>
    <cfRule type="containsText" dxfId="2799" priority="6223" operator="containsText" text="ENTREGADO">
      <formula>NOT(ISERROR(SEARCH("ENTREGADO",Y72)))</formula>
    </cfRule>
    <cfRule type="containsText" dxfId="2798" priority="6222" operator="containsText" text="ENTREGADO">
      <formula>NOT(ISERROR(SEARCH("ENTREGADO",Y72)))</formula>
    </cfRule>
    <cfRule type="containsText" dxfId="2797" priority="6230" operator="containsText" text="ENTREGADO">
      <formula>NOT(ISERROR(SEARCH("ENTREGADO",#REF!)))</formula>
    </cfRule>
    <cfRule type="containsText" dxfId="2796" priority="6245" operator="containsText" text="ENTREGADO">
      <formula>NOT(ISERROR(SEARCH("ENTREGADO",Y72)))</formula>
    </cfRule>
  </conditionalFormatting>
  <conditionalFormatting sqref="Y73:Z73 AB73:AC73">
    <cfRule type="containsText" dxfId="2795" priority="6577" operator="containsText" text="ENTREGADO">
      <formula>NOT(ISERROR(SEARCH("ENTREGADO",Y73)))</formula>
    </cfRule>
    <cfRule type="containsText" dxfId="2794" priority="6576" operator="containsText" text="ENTREGADO">
      <formula>NOT(ISERROR(SEARCH("ENTREGADO",#REF!)))</formula>
    </cfRule>
    <cfRule type="containsText" dxfId="2793" priority="6575" operator="containsText" text="ENTREGADO">
      <formula>NOT(ISERROR(SEARCH("ENTREGADO",Y73)))</formula>
    </cfRule>
    <cfRule type="containsText" dxfId="2792" priority="6582" operator="containsText" text="PENDIENTE">
      <formula>NOT(ISERROR(SEARCH("PENDIENTE",Y73)))</formula>
    </cfRule>
    <cfRule type="containsText" dxfId="2791" priority="6581" operator="containsText" text="ENTREGADO">
      <formula>NOT(ISERROR(SEARCH("ENTREGADO",#REF!)))</formula>
    </cfRule>
    <cfRule type="containsText" dxfId="2790" priority="6579" operator="containsText" text="PENDIENTE">
      <formula>NOT(ISERROR(SEARCH("PENDIENTE",Y73)))</formula>
    </cfRule>
    <cfRule type="containsText" dxfId="2789" priority="6578" operator="containsText" text="PENDIENTE">
      <formula>NOT(ISERROR(SEARCH("PENDIENTE",#REF!)))</formula>
    </cfRule>
    <cfRule type="containsText" dxfId="2788" priority="6571" operator="containsText" text="PENDIENTE">
      <formula>NOT(ISERROR(SEARCH("PENDIENTE",#REF!)))</formula>
    </cfRule>
    <cfRule type="containsText" dxfId="2787" priority="6573" operator="containsText" text="ENTREGADO">
      <formula>NOT(ISERROR(SEARCH("ENTREGADO",Y73)))</formula>
    </cfRule>
    <cfRule type="containsText" dxfId="2786" priority="6574" operator="containsText" text="PRIORIDAD">
      <formula>NOT(ISERROR(SEARCH("PRIORIDAD",Y73)))</formula>
    </cfRule>
  </conditionalFormatting>
  <conditionalFormatting sqref="Y73:Z74 AB73:AC74">
    <cfRule type="containsText" dxfId="2785" priority="6449" operator="containsText" text="ENTREGADO">
      <formula>NOT(ISERROR(SEARCH("ENTREGADO",Y73)))</formula>
    </cfRule>
    <cfRule type="containsText" dxfId="2784" priority="6454" operator="containsText" text="PENDIENTE">
      <formula>NOT(ISERROR(SEARCH("PENDIENTE",Y73)))</formula>
    </cfRule>
  </conditionalFormatting>
  <conditionalFormatting sqref="Y74:Z74 AB74:AC74">
    <cfRule type="containsText" dxfId="2783" priority="6450" operator="containsText" text="PENDIENTE">
      <formula>NOT(ISERROR(SEARCH("PENDIENTE",#REF!)))</formula>
    </cfRule>
    <cfRule type="containsText" dxfId="2782" priority="6443" operator="containsText" text="PENDIENTE">
      <formula>NOT(ISERROR(SEARCH("PENDIENTE",#REF!)))</formula>
    </cfRule>
    <cfRule type="containsText" dxfId="2781" priority="6451" operator="containsText" text="PENDIENTE">
      <formula>NOT(ISERROR(SEARCH("PENDIENTE",Y74)))</formula>
    </cfRule>
    <cfRule type="containsText" dxfId="2780" priority="6444" operator="containsText" text="PENDIENTE">
      <formula>NOT(ISERROR(SEARCH("PENDIENTE",Y74)))</formula>
    </cfRule>
    <cfRule type="containsText" dxfId="2779" priority="6446" operator="containsText" text="PRIORIDAD">
      <formula>NOT(ISERROR(SEARCH("PRIORIDAD",Y74)))</formula>
    </cfRule>
    <cfRule type="containsText" dxfId="2778" priority="6447" operator="containsText" text="ENTREGADO">
      <formula>NOT(ISERROR(SEARCH("ENTREGADO",Y74)))</formula>
    </cfRule>
    <cfRule type="containsText" dxfId="2777" priority="6445" operator="containsText" text="ENTREGADO">
      <formula>NOT(ISERROR(SEARCH("ENTREGADO",Y74)))</formula>
    </cfRule>
    <cfRule type="containsText" dxfId="2776" priority="6442" operator="containsText" text="ENTREGADO">
      <formula>NOT(ISERROR(SEARCH("ENTREGADO",Y74)))</formula>
    </cfRule>
    <cfRule type="containsText" dxfId="2775" priority="6453" operator="containsText" text="ENTREGADO">
      <formula>NOT(ISERROR(SEARCH("ENTREGADO",#REF!)))</formula>
    </cfRule>
    <cfRule type="containsText" dxfId="2774" priority="6448" operator="containsText" text="ENTREGADO">
      <formula>NOT(ISERROR(SEARCH("ENTREGADO",#REF!)))</formula>
    </cfRule>
  </conditionalFormatting>
  <conditionalFormatting sqref="Y75:Z75 AB75:AC75">
    <cfRule type="containsText" dxfId="2773" priority="4795" operator="containsText" text="ENTREGADO">
      <formula>NOT(ISERROR(SEARCH("ENTREGADO",Y75)))</formula>
    </cfRule>
    <cfRule type="containsText" dxfId="2772" priority="4794" operator="containsText" text="PRIORIDAD">
      <formula>NOT(ISERROR(SEARCH("PRIORIDAD",Y75)))</formula>
    </cfRule>
    <cfRule type="containsText" dxfId="2771" priority="4793" operator="containsText" text="PENDIENTE">
      <formula>NOT(ISERROR(SEARCH("PENDIENTE",Y75)))</formula>
    </cfRule>
    <cfRule type="containsText" dxfId="2770" priority="4780" operator="containsText" text="ENTREGADO">
      <formula>NOT(ISERROR(SEARCH("ENTREGADO",#REF!)))</formula>
    </cfRule>
    <cfRule type="containsText" dxfId="2769" priority="4773" operator="containsText" text="ENTREGADO">
      <formula>NOT(ISERROR(SEARCH("ENTREGADO",Y75)))</formula>
    </cfRule>
    <cfRule type="containsText" dxfId="2768" priority="4792" operator="containsText" text="PENDIENTE">
      <formula>NOT(ISERROR(SEARCH("PENDIENTE",#REF!)))</formula>
    </cfRule>
    <cfRule type="containsText" dxfId="2767" priority="4772" operator="containsText" text="ENTREGADO">
      <formula>NOT(ISERROR(SEARCH("ENTREGADO",Y75)))</formula>
    </cfRule>
  </conditionalFormatting>
  <conditionalFormatting sqref="Y76:Z76 Y80:Z81 AB80:AC81 AB76:AC76 AB83:AC84 Y83:Z84">
    <cfRule type="containsText" dxfId="2766" priority="2911" operator="containsText" text="PENDIENTE">
      <formula>NOT(ISERROR(SEARCH("PENDIENTE",Y76)))</formula>
    </cfRule>
    <cfRule type="containsText" dxfId="2765" priority="2913" operator="containsText" text="ENTREGADO">
      <formula>NOT(ISERROR(SEARCH("ENTREGADO",Y76)))</formula>
    </cfRule>
    <cfRule type="containsText" dxfId="2764" priority="2891" operator="containsText" text="ENTREGADO">
      <formula>NOT(ISERROR(SEARCH("ENTREGADO",Y76)))</formula>
    </cfRule>
    <cfRule type="containsText" dxfId="2763" priority="2910" operator="containsText" text="PENDIENTE">
      <formula>NOT(ISERROR(SEARCH("PENDIENTE",#REF!)))</formula>
    </cfRule>
  </conditionalFormatting>
  <conditionalFormatting sqref="Y76:Z76 AB76:AC76 Y80:Z81 AB80:AC81 Y83:Z84 AB83:AC84">
    <cfRule type="containsText" dxfId="2762" priority="2912" operator="containsText" text="PRIORIDAD">
      <formula>NOT(ISERROR(SEARCH("PRIORIDAD",Y76)))</formula>
    </cfRule>
  </conditionalFormatting>
  <conditionalFormatting sqref="Y76:Z76 AB76:AC76 AB80:AC81 Y80:Z81 Y83:Z84 AB83:AC84">
    <cfRule type="containsText" dxfId="2761" priority="2890" operator="containsText" text="ENTREGADO">
      <formula>NOT(ISERROR(SEARCH("ENTREGADO",Y76)))</formula>
    </cfRule>
    <cfRule type="containsText" dxfId="2760" priority="2898" operator="containsText" text="ENTREGADO">
      <formula>NOT(ISERROR(SEARCH("ENTREGADO",#REF!)))</formula>
    </cfRule>
  </conditionalFormatting>
  <conditionalFormatting sqref="Y77:Z77 AB77:AC77">
    <cfRule type="containsText" dxfId="2759" priority="1979" operator="containsText" text="PENDIENTE">
      <formula>NOT(ISERROR(SEARCH("PENDIENTE",#REF!)))</formula>
    </cfRule>
    <cfRule type="containsText" dxfId="2758" priority="1960" operator="containsText" text="ENTREGADO">
      <formula>NOT(ISERROR(SEARCH("ENTREGADO",Y77)))</formula>
    </cfRule>
    <cfRule type="containsText" dxfId="2757" priority="1981" operator="containsText" text="PRIORIDAD">
      <formula>NOT(ISERROR(SEARCH("PRIORIDAD",Y77)))</formula>
    </cfRule>
    <cfRule type="containsText" dxfId="2756" priority="1980" operator="containsText" text="PENDIENTE">
      <formula>NOT(ISERROR(SEARCH("PENDIENTE",Y77)))</formula>
    </cfRule>
    <cfRule type="containsText" dxfId="2755" priority="1982" operator="containsText" text="ENTREGADO">
      <formula>NOT(ISERROR(SEARCH("ENTREGADO",Y77)))</formula>
    </cfRule>
  </conditionalFormatting>
  <conditionalFormatting sqref="Y78:Z78 AB78:AC78">
    <cfRule type="containsText" dxfId="2754" priority="1617" operator="containsText" text="PRIORIDAD">
      <formula>NOT(ISERROR(SEARCH("PRIORIDAD",Y78)))</formula>
    </cfRule>
  </conditionalFormatting>
  <conditionalFormatting sqref="Y79:Z79 AB79:AC79">
    <cfRule type="containsText" dxfId="2753" priority="1509" operator="containsText" text="ENTREGADO">
      <formula>NOT(ISERROR(SEARCH("ENTREGADO",Y79)))</formula>
    </cfRule>
    <cfRule type="containsText" dxfId="2752" priority="1508" operator="containsText" text="ENTREGADO">
      <formula>NOT(ISERROR(SEARCH("ENTREGADO",Y79)))</formula>
    </cfRule>
    <cfRule type="containsText" dxfId="2751" priority="1514" operator="containsText" text="ENTREGADO">
      <formula>NOT(ISERROR(SEARCH("ENTREGADO",Y79)))</formula>
    </cfRule>
    <cfRule type="containsText" dxfId="2750" priority="1513" operator="containsText" text="PRIORIDAD">
      <formula>NOT(ISERROR(SEARCH("PRIORIDAD",Y79)))</formula>
    </cfRule>
    <cfRule type="containsText" dxfId="2749" priority="1511" operator="containsText" text="PENDIENTE">
      <formula>NOT(ISERROR(SEARCH("PENDIENTE",#REF!)))</formula>
    </cfRule>
    <cfRule type="containsText" dxfId="2748" priority="1510" operator="containsText" text="ENTREGADO">
      <formula>NOT(ISERROR(SEARCH("ENTREGADO",#REF!)))</formula>
    </cfRule>
    <cfRule type="containsText" dxfId="2747" priority="1512" operator="containsText" text="PENDIENTE">
      <formula>NOT(ISERROR(SEARCH("PENDIENTE",Y79)))</formula>
    </cfRule>
  </conditionalFormatting>
  <conditionalFormatting sqref="Y82:Z82 AB82:AC82">
    <cfRule type="containsText" dxfId="2746" priority="1346" operator="containsText" text="PENDIENTE">
      <formula>NOT(ISERROR(SEARCH("PENDIENTE",#REF!)))</formula>
    </cfRule>
    <cfRule type="containsText" dxfId="2745" priority="1347" operator="containsText" text="PENDIENTE">
      <formula>NOT(ISERROR(SEARCH("PENDIENTE",Y82)))</formula>
    </cfRule>
    <cfRule type="containsText" dxfId="2744" priority="1348" operator="containsText" text="PRIORIDAD">
      <formula>NOT(ISERROR(SEARCH("PRIORIDAD",Y82)))</formula>
    </cfRule>
    <cfRule type="containsText" dxfId="2743" priority="1344" operator="containsText" text="ENTREGADO">
      <formula>NOT(ISERROR(SEARCH("ENTREGADO",Y82)))</formula>
    </cfRule>
    <cfRule type="containsText" dxfId="2742" priority="1349" operator="containsText" text="ENTREGADO">
      <formula>NOT(ISERROR(SEARCH("ENTREGADO",Y82)))</formula>
    </cfRule>
  </conditionalFormatting>
  <conditionalFormatting sqref="Y85:Z85 AB85:AC85">
    <cfRule type="containsText" dxfId="2741" priority="2577" operator="containsText" text="ENTREGADO">
      <formula>NOT(ISERROR(SEARCH("ENTREGADO",#REF!)))</formula>
    </cfRule>
    <cfRule type="containsText" dxfId="2740" priority="2589" operator="containsText" text="PENDIENTE">
      <formula>NOT(ISERROR(SEARCH("PENDIENTE",#REF!)))</formula>
    </cfRule>
    <cfRule type="containsText" dxfId="2739" priority="2590" operator="containsText" text="PENDIENTE">
      <formula>NOT(ISERROR(SEARCH("PENDIENTE",Y85)))</formula>
    </cfRule>
    <cfRule type="containsText" dxfId="2738" priority="2592" operator="containsText" text="ENTREGADO">
      <formula>NOT(ISERROR(SEARCH("ENTREGADO",Y85)))</formula>
    </cfRule>
    <cfRule type="containsText" dxfId="2737" priority="2591" operator="containsText" text="PRIORIDAD">
      <formula>NOT(ISERROR(SEARCH("PRIORIDAD",Y85)))</formula>
    </cfRule>
    <cfRule type="containsText" dxfId="2736" priority="2569" operator="containsText" text="ENTREGADO">
      <formula>NOT(ISERROR(SEARCH("ENTREGADO",Y85)))</formula>
    </cfRule>
    <cfRule type="containsText" dxfId="2735" priority="2570" operator="containsText" text="ENTREGADO">
      <formula>NOT(ISERROR(SEARCH("ENTREGADO",Y85)))</formula>
    </cfRule>
  </conditionalFormatting>
  <conditionalFormatting sqref="Y86:Z86 AB86:AC86">
    <cfRule type="containsText" dxfId="2734" priority="2497" operator="containsText" text="PENDIENTE">
      <formula>NOT(ISERROR(SEARCH("PENDIENTE",#REF!)))</formula>
    </cfRule>
    <cfRule type="containsText" dxfId="2733" priority="2500" operator="containsText" text="ENTREGADO">
      <formula>NOT(ISERROR(SEARCH("ENTREGADO",Y86)))</formula>
    </cfRule>
    <cfRule type="containsText" dxfId="2732" priority="2477" operator="containsText" text="ENTREGADO">
      <formula>NOT(ISERROR(SEARCH("ENTREGADO",Y86)))</formula>
    </cfRule>
    <cfRule type="containsText" dxfId="2731" priority="2499" operator="containsText" text="PRIORIDAD">
      <formula>NOT(ISERROR(SEARCH("PRIORIDAD",Y86)))</formula>
    </cfRule>
    <cfRule type="containsText" dxfId="2730" priority="2498" operator="containsText" text="PENDIENTE">
      <formula>NOT(ISERROR(SEARCH("PENDIENTE",Y86)))</formula>
    </cfRule>
    <cfRule type="containsText" dxfId="2729" priority="2478" operator="containsText" text="ENTREGADO">
      <formula>NOT(ISERROR(SEARCH("ENTREGADO",Y86)))</formula>
    </cfRule>
    <cfRule type="containsText" dxfId="2728" priority="2485" operator="containsText" text="ENTREGADO">
      <formula>NOT(ISERROR(SEARCH("ENTREGADO",#REF!)))</formula>
    </cfRule>
  </conditionalFormatting>
  <conditionalFormatting sqref="Y87:Z87 AB87:AC87">
    <cfRule type="containsText" dxfId="2727" priority="2368" operator="containsText" text="PENDIENTE">
      <formula>NOT(ISERROR(SEARCH("PENDIENTE",#REF!)))</formula>
    </cfRule>
    <cfRule type="containsText" dxfId="2726" priority="2369" operator="containsText" text="PENDIENTE">
      <formula>NOT(ISERROR(SEARCH("PENDIENTE",Y87)))</formula>
    </cfRule>
    <cfRule type="containsText" dxfId="2725" priority="2370" operator="containsText" text="PRIORIDAD">
      <formula>NOT(ISERROR(SEARCH("PRIORIDAD",Y87)))</formula>
    </cfRule>
    <cfRule type="containsText" dxfId="2724" priority="2348" operator="containsText" text="ENTREGADO">
      <formula>NOT(ISERROR(SEARCH("ENTREGADO",Y87)))</formula>
    </cfRule>
    <cfRule type="containsText" dxfId="2723" priority="2371" operator="containsText" text="ENTREGADO">
      <formula>NOT(ISERROR(SEARCH("ENTREGADO",Y87)))</formula>
    </cfRule>
    <cfRule type="containsText" dxfId="2722" priority="2349" operator="containsText" text="ENTREGADO">
      <formula>NOT(ISERROR(SEARCH("ENTREGADO",Y87)))</formula>
    </cfRule>
    <cfRule type="containsText" dxfId="2721" priority="2356" operator="containsText" text="ENTREGADO">
      <formula>NOT(ISERROR(SEARCH("ENTREGADO",#REF!)))</formula>
    </cfRule>
  </conditionalFormatting>
  <conditionalFormatting sqref="Y88:Z88 AB88:AC88">
    <cfRule type="containsText" dxfId="2720" priority="2240" operator="containsText" text="PENDIENTE">
      <formula>NOT(ISERROR(SEARCH("PENDIENTE",Y88)))</formula>
    </cfRule>
    <cfRule type="containsText" dxfId="2719" priority="2220" operator="containsText" text="ENTREGADO">
      <formula>NOT(ISERROR(SEARCH("ENTREGADO",Y88)))</formula>
    </cfRule>
    <cfRule type="containsText" dxfId="2718" priority="2242" operator="containsText" text="ENTREGADO">
      <formula>NOT(ISERROR(SEARCH("ENTREGADO",Y88)))</formula>
    </cfRule>
    <cfRule type="containsText" dxfId="2717" priority="2239" operator="containsText" text="PENDIENTE">
      <formula>NOT(ISERROR(SEARCH("PENDIENTE",#REF!)))</formula>
    </cfRule>
    <cfRule type="containsText" dxfId="2716" priority="2227" operator="containsText" text="ENTREGADO">
      <formula>NOT(ISERROR(SEARCH("ENTREGADO",#REF!)))</formula>
    </cfRule>
    <cfRule type="containsText" dxfId="2715" priority="2219" operator="containsText" text="ENTREGADO">
      <formula>NOT(ISERROR(SEARCH("ENTREGADO",Y88)))</formula>
    </cfRule>
    <cfRule type="containsText" dxfId="2714" priority="2241" operator="containsText" text="PRIORIDAD">
      <formula>NOT(ISERROR(SEARCH("PRIORIDAD",Y88)))</formula>
    </cfRule>
  </conditionalFormatting>
  <conditionalFormatting sqref="Y89:Z89 AB89:AC89">
    <cfRule type="containsText" dxfId="2713" priority="1074" operator="containsText" text="ENTREGADO">
      <formula>NOT(ISERROR(SEARCH("ENTREGADO",Y89)))</formula>
    </cfRule>
    <cfRule type="containsText" dxfId="2712" priority="1076" operator="containsText" text="PENDIENTE">
      <formula>NOT(ISERROR(SEARCH("PENDIENTE",#REF!)))</formula>
    </cfRule>
    <cfRule type="containsText" dxfId="2711" priority="1073" operator="containsText" text="ENTREGADO">
      <formula>NOT(ISERROR(SEARCH("ENTREGADO",Y89)))</formula>
    </cfRule>
    <cfRule type="containsText" dxfId="2710" priority="1078" operator="containsText" text="PRIORIDAD">
      <formula>NOT(ISERROR(SEARCH("PRIORIDAD",Y89)))</formula>
    </cfRule>
    <cfRule type="containsText" dxfId="2709" priority="1075" operator="containsText" text="ENTREGADO">
      <formula>NOT(ISERROR(SEARCH("ENTREGADO",#REF!)))</formula>
    </cfRule>
    <cfRule type="containsText" dxfId="2708" priority="1079" operator="containsText" text="ENTREGADO">
      <formula>NOT(ISERROR(SEARCH("ENTREGADO",Y89)))</formula>
    </cfRule>
    <cfRule type="containsText" dxfId="2707" priority="1077" operator="containsText" text="PENDIENTE">
      <formula>NOT(ISERROR(SEARCH("PENDIENTE",Y89)))</formula>
    </cfRule>
  </conditionalFormatting>
  <conditionalFormatting sqref="Y90:Z90 AB90:AC90">
    <cfRule type="containsText" dxfId="2706" priority="1102" operator="containsText" text="ENTREGADO">
      <formula>NOT(ISERROR(SEARCH("ENTREGADO",Y90)))</formula>
    </cfRule>
    <cfRule type="containsText" dxfId="2705" priority="1103" operator="containsText" text="ENTREGADO">
      <formula>NOT(ISERROR(SEARCH("ENTREGADO",Y90)))</formula>
    </cfRule>
    <cfRule type="containsText" dxfId="2704" priority="1107" operator="containsText" text="PRIORIDAD">
      <formula>NOT(ISERROR(SEARCH("PRIORIDAD",Y90)))</formula>
    </cfRule>
    <cfRule type="containsText" dxfId="2703" priority="1108" operator="containsText" text="ENTREGADO">
      <formula>NOT(ISERROR(SEARCH("ENTREGADO",Y90)))</formula>
    </cfRule>
    <cfRule type="containsText" dxfId="2702" priority="1106" operator="containsText" text="PENDIENTE">
      <formula>NOT(ISERROR(SEARCH("PENDIENTE",Y90)))</formula>
    </cfRule>
    <cfRule type="containsText" dxfId="2701" priority="1105" operator="containsText" text="PENDIENTE">
      <formula>NOT(ISERROR(SEARCH("PENDIENTE",#REF!)))</formula>
    </cfRule>
    <cfRule type="containsText" dxfId="2700" priority="1104" operator="containsText" text="ENTREGADO">
      <formula>NOT(ISERROR(SEARCH("ENTREGADO",#REF!)))</formula>
    </cfRule>
  </conditionalFormatting>
  <conditionalFormatting sqref="Y91:Z91 AB91:AC91">
    <cfRule type="containsText" dxfId="2699" priority="932" operator="containsText" text="ENTREGADO">
      <formula>NOT(ISERROR(SEARCH("ENTREGADO",Y91)))</formula>
    </cfRule>
    <cfRule type="containsText" dxfId="2698" priority="938" operator="containsText" text="ENTREGADO">
      <formula>NOT(ISERROR(SEARCH("ENTREGADO",Y91)))</formula>
    </cfRule>
    <cfRule type="containsText" dxfId="2697" priority="937" operator="containsText" text="PRIORIDAD">
      <formula>NOT(ISERROR(SEARCH("PRIORIDAD",Y91)))</formula>
    </cfRule>
    <cfRule type="containsText" dxfId="2696" priority="933" operator="containsText" text="ENTREGADO">
      <formula>NOT(ISERROR(SEARCH("ENTREGADO",Y91)))</formula>
    </cfRule>
    <cfRule type="containsText" dxfId="2695" priority="935" operator="containsText" text="PENDIENTE">
      <formula>NOT(ISERROR(SEARCH("PENDIENTE",#REF!)))</formula>
    </cfRule>
    <cfRule type="containsText" dxfId="2694" priority="936" operator="containsText" text="PENDIENTE">
      <formula>NOT(ISERROR(SEARCH("PENDIENTE",Y91)))</formula>
    </cfRule>
    <cfRule type="containsText" dxfId="2693" priority="934" operator="containsText" text="ENTREGADO">
      <formula>NOT(ISERROR(SEARCH("ENTREGADO",#REF!)))</formula>
    </cfRule>
  </conditionalFormatting>
  <conditionalFormatting sqref="Y92:Z92 AB92:AC92">
    <cfRule type="containsText" dxfId="2692" priority="796" operator="containsText" text="PRIORIDAD">
      <formula>NOT(ISERROR(SEARCH("PRIORIDAD",Y92)))</formula>
    </cfRule>
    <cfRule type="containsText" dxfId="2691" priority="795" operator="containsText" text="PENDIENTE">
      <formula>NOT(ISERROR(SEARCH("PENDIENTE",Y92)))</formula>
    </cfRule>
    <cfRule type="containsText" dxfId="2690" priority="794" operator="containsText" text="PENDIENTE">
      <formula>NOT(ISERROR(SEARCH("PENDIENTE",#REF!)))</formula>
    </cfRule>
    <cfRule type="containsText" dxfId="2689" priority="792" operator="containsText" text="ENTREGADO">
      <formula>NOT(ISERROR(SEARCH("ENTREGADO",Y92)))</formula>
    </cfRule>
    <cfRule type="containsText" dxfId="2688" priority="791" operator="containsText" text="ENTREGADO">
      <formula>NOT(ISERROR(SEARCH("ENTREGADO",Y92)))</formula>
    </cfRule>
    <cfRule type="containsText" dxfId="2687" priority="793" operator="containsText" text="ENTREGADO">
      <formula>NOT(ISERROR(SEARCH("ENTREGADO",#REF!)))</formula>
    </cfRule>
    <cfRule type="containsText" dxfId="2686" priority="797" operator="containsText" text="ENTREGADO">
      <formula>NOT(ISERROR(SEARCH("ENTREGADO",Y92)))</formula>
    </cfRule>
  </conditionalFormatting>
  <conditionalFormatting sqref="Y9:AC17">
    <cfRule type="containsText" dxfId="2685" priority="6197" operator="containsText" text="ENTREGADO">
      <formula>NOT(ISERROR(SEARCH("ENTREGADO",Y9)))</formula>
    </cfRule>
    <cfRule type="containsText" dxfId="2684" priority="6217" operator="containsText" text="PENDIENTE">
      <formula>NOT(ISERROR(SEARCH("PENDIENTE",Y9)))</formula>
    </cfRule>
    <cfRule type="containsText" dxfId="2683" priority="6216" operator="containsText" text="PENDIENTE">
      <formula>NOT(ISERROR(SEARCH("PENDIENTE",#REF!)))</formula>
    </cfRule>
    <cfRule type="containsText" dxfId="2682" priority="6218" operator="containsText" text="PRIORIDAD">
      <formula>NOT(ISERROR(SEARCH("PRIORIDAD",Y9)))</formula>
    </cfRule>
    <cfRule type="containsText" dxfId="2681" priority="6219" operator="containsText" text="ENTREGADO">
      <formula>NOT(ISERROR(SEARCH("ENTREGADO",Y9)))</formula>
    </cfRule>
  </conditionalFormatting>
  <conditionalFormatting sqref="Y23:AC23">
    <cfRule type="containsText" dxfId="2680" priority="6883" operator="containsText" text="PENDIENTE">
      <formula>NOT(ISERROR(SEARCH("PENDIENTE",Y23)))</formula>
    </cfRule>
    <cfRule type="containsText" dxfId="2679" priority="6884" operator="containsText" text="PRIORIDAD">
      <formula>NOT(ISERROR(SEARCH("PRIORIDAD",Y23)))</formula>
    </cfRule>
    <cfRule type="containsText" dxfId="2678" priority="6863" operator="containsText" text="ENTREGADO">
      <formula>NOT(ISERROR(SEARCH("ENTREGADO",Y23)))</formula>
    </cfRule>
    <cfRule type="containsText" dxfId="2677" priority="6882" operator="containsText" text="PENDIENTE">
      <formula>NOT(ISERROR(SEARCH("PENDIENTE",#REF!)))</formula>
    </cfRule>
  </conditionalFormatting>
  <conditionalFormatting sqref="Y24:AC26">
    <cfRule type="containsText" dxfId="2676" priority="6294" operator="containsText" text="PENDIENTE">
      <formula>NOT(ISERROR(SEARCH("PENDIENTE",#REF!)))</formula>
    </cfRule>
    <cfRule type="containsText" dxfId="2675" priority="6297" operator="containsText" text="ENTREGADO">
      <formula>NOT(ISERROR(SEARCH("ENTREGADO",Y24)))</formula>
    </cfRule>
    <cfRule type="containsText" dxfId="2674" priority="6275" operator="containsText" text="ENTREGADO">
      <formula>NOT(ISERROR(SEARCH("ENTREGADO",Y24)))</formula>
    </cfRule>
    <cfRule type="containsText" dxfId="2673" priority="6296" operator="containsText" text="PRIORIDAD">
      <formula>NOT(ISERROR(SEARCH("PRIORIDAD",Y24)))</formula>
    </cfRule>
    <cfRule type="containsText" dxfId="2672" priority="6295" operator="containsText" text="PENDIENTE">
      <formula>NOT(ISERROR(SEARCH("PENDIENTE",Y24)))</formula>
    </cfRule>
  </conditionalFormatting>
  <conditionalFormatting sqref="AA3">
    <cfRule type="containsText" dxfId="2671" priority="21180" operator="containsText" text="ENTREGADO">
      <formula>NOT(ISERROR(SEARCH("ENTREGADO",AA3)))</formula>
    </cfRule>
    <cfRule type="containsText" dxfId="2670" priority="21173" operator="containsText" text="ENTREGADO">
      <formula>NOT(ISERROR(SEARCH("ENTREGADO",#REF!)))</formula>
    </cfRule>
    <cfRule type="containsText" dxfId="2669" priority="21172" operator="containsText" text="PENDIENTE">
      <formula>NOT(ISERROR(SEARCH("PENDIENTE",#REF!)))</formula>
    </cfRule>
    <cfRule type="containsText" dxfId="2668" priority="21171" operator="containsText" text="ENTREGADO">
      <formula>NOT(ISERROR(SEARCH("ENTREGADO",#REF!)))</formula>
    </cfRule>
    <cfRule type="containsText" dxfId="2667" priority="21168" operator="containsText" text="PENDIENTE">
      <formula>NOT(ISERROR(SEARCH("PENDIENTE",#REF!)))</formula>
    </cfRule>
    <cfRule type="containsText" dxfId="2666" priority="21167" operator="containsText" text="ENTREGADO">
      <formula>NOT(ISERROR(SEARCH("ENTREGADO",#REF!)))</formula>
    </cfRule>
    <cfRule type="containsText" dxfId="2665" priority="21165" operator="containsText" text="PENDIENTE">
      <formula>NOT(ISERROR(SEARCH("PENDIENTE",#REF!)))</formula>
    </cfRule>
    <cfRule type="containsText" dxfId="2664" priority="21160" operator="containsText" text="PENDIENTE">
      <formula>NOT(ISERROR(SEARCH("PENDIENTE",AA3)))</formula>
    </cfRule>
    <cfRule type="containsText" dxfId="2663" priority="21164" operator="containsText" text="ENTREGADO">
      <formula>NOT(ISERROR(SEARCH("ENTREGADO",AA3)))</formula>
    </cfRule>
    <cfRule type="containsText" dxfId="2662" priority="21163" operator="containsText" text="PENDIENTE">
      <formula>NOT(ISERROR(SEARCH("PENDIENTE",AA3)))</formula>
    </cfRule>
    <cfRule type="containsText" dxfId="2661" priority="21182" operator="containsText" text="ENTREGADO">
      <formula>NOT(ISERROR(SEARCH("ENTREGADO",AA3)))</formula>
    </cfRule>
    <cfRule type="containsText" dxfId="2660" priority="21181" operator="containsText" text="PENDIENTE">
      <formula>NOT(ISERROR(SEARCH("PENDIENTE",AA3)))</formula>
    </cfRule>
    <cfRule type="containsText" dxfId="2659" priority="21179" operator="containsText" text="PENDIENTE">
      <formula>NOT(ISERROR(SEARCH("PENDIENTE",AA3)))</formula>
    </cfRule>
    <cfRule type="containsText" dxfId="2658" priority="21175" operator="containsText" text="ENTREGADO">
      <formula>NOT(ISERROR(SEARCH("ENTREGADO",AA3)))</formula>
    </cfRule>
    <cfRule type="containsText" dxfId="2657" priority="21174" operator="containsText" text="ENTREGADO">
      <formula>NOT(ISERROR(SEARCH("ENTREGADO",#REF!)))</formula>
    </cfRule>
    <cfRule type="containsText" dxfId="2656" priority="21162" operator="containsText" text="ENTREGADO">
      <formula>NOT(ISERROR(SEARCH("ENTREGADO",AA3)))</formula>
    </cfRule>
    <cfRule type="containsText" dxfId="2655" priority="21161" operator="containsText" text="ENTREGADO">
      <formula>NOT(ISERROR(SEARCH("ENTREGADO",AA3)))</formula>
    </cfRule>
  </conditionalFormatting>
  <conditionalFormatting sqref="AA4:AA8">
    <cfRule type="containsText" dxfId="2654" priority="6176" operator="containsText" text="PENDIENTE">
      <formula>NOT(ISERROR(SEARCH("PENDIENTE",AA4)))</formula>
    </cfRule>
    <cfRule type="containsText" dxfId="2653" priority="6190" operator="containsText" text="PENDIENTE">
      <formula>NOT(ISERROR(SEARCH("PENDIENTE",#REF!)))</formula>
    </cfRule>
    <cfRule type="containsText" dxfId="2652" priority="6189" operator="containsText" text="ENTREGADO">
      <formula>NOT(ISERROR(SEARCH("ENTREGADO",AA4)))</formula>
    </cfRule>
    <cfRule type="containsText" dxfId="2651" priority="6188" operator="containsText" text="PENDIENTE">
      <formula>NOT(ISERROR(SEARCH("PENDIENTE",AA4)))</formula>
    </cfRule>
    <cfRule type="containsText" dxfId="2650" priority="6181" operator="containsText" text="ENTREGADO">
      <formula>NOT(ISERROR(SEARCH("ENTREGADO",#REF!)))</formula>
    </cfRule>
    <cfRule type="containsText" dxfId="2649" priority="6193" operator="containsText" text="ENTREGADO">
      <formula>NOT(ISERROR(SEARCH("ENTREGADO",AA4)))</formula>
    </cfRule>
    <cfRule type="containsText" dxfId="2648" priority="6192" operator="containsText" text="PRIORIDAD">
      <formula>NOT(ISERROR(SEARCH("PRIORIDAD",AA4)))</formula>
    </cfRule>
    <cfRule type="containsText" dxfId="2647" priority="6191" operator="containsText" text="PENDIENTE">
      <formula>NOT(ISERROR(SEARCH("PENDIENTE",AA4)))</formula>
    </cfRule>
    <cfRule type="containsText" dxfId="2646" priority="6186" operator="containsText" text="PENDIENTE">
      <formula>NOT(ISERROR(SEARCH("PENDIENTE",AA4)))</formula>
    </cfRule>
    <cfRule type="containsText" dxfId="2645" priority="6184" operator="containsText" text="ENTREGADO">
      <formula>NOT(ISERROR(SEARCH("ENTREGADO",#REF!)))</formula>
    </cfRule>
    <cfRule type="containsText" dxfId="2644" priority="6175" operator="containsText" text="ENTREGADO">
      <formula>NOT(ISERROR(SEARCH("ENTREGADO",AA4)))</formula>
    </cfRule>
    <cfRule type="containsText" dxfId="2643" priority="6174" operator="containsText" text="ENTREGADO">
      <formula>NOT(ISERROR(SEARCH("ENTREGADO",AA4)))</formula>
    </cfRule>
    <cfRule type="containsText" dxfId="2642" priority="6183" operator="containsText" text="ENTREGADO">
      <formula>NOT(ISERROR(SEARCH("ENTREGADO",#REF!)))</formula>
    </cfRule>
    <cfRule type="containsText" dxfId="2641" priority="6182" operator="containsText" text="PENDIENTE">
      <formula>NOT(ISERROR(SEARCH("PENDIENTE",#REF!)))</formula>
    </cfRule>
    <cfRule type="containsText" dxfId="2640" priority="6180" operator="containsText" text="PENDIENTE">
      <formula>NOT(ISERROR(SEARCH("PENDIENTE",#REF!)))</formula>
    </cfRule>
    <cfRule type="containsText" dxfId="2639" priority="6179" operator="containsText" text="ENTREGADO">
      <formula>NOT(ISERROR(SEARCH("ENTREGADO",#REF!)))</formula>
    </cfRule>
    <cfRule type="containsText" dxfId="2638" priority="6185" operator="containsText" text="ENTREGADO">
      <formula>NOT(ISERROR(SEARCH("ENTREGADO",AA4)))</formula>
    </cfRule>
    <cfRule type="containsText" dxfId="2637" priority="6173" operator="containsText" text="PENDIENTE">
      <formula>NOT(ISERROR(SEARCH("PENDIENTE",AA4)))</formula>
    </cfRule>
    <cfRule type="containsText" dxfId="2636" priority="6172" operator="containsText" text="ENTREGADO">
      <formula>NOT(ISERROR(SEARCH("ENTREGADO",AA4)))</formula>
    </cfRule>
    <cfRule type="containsText" dxfId="2635" priority="6187" operator="containsText" text="ENTREGADO">
      <formula>NOT(ISERROR(SEARCH("ENTREGADO",AA4)))</formula>
    </cfRule>
    <cfRule type="containsText" dxfId="2634" priority="6178" operator="containsText" text="PENDIENTE">
      <formula>NOT(ISERROR(SEARCH("PENDIENTE",#REF!)))</formula>
    </cfRule>
    <cfRule type="containsText" dxfId="2633" priority="6177" operator="containsText" text="ENTREGADO">
      <formula>NOT(ISERROR(SEARCH("ENTREGADO",AA4)))</formula>
    </cfRule>
  </conditionalFormatting>
  <conditionalFormatting sqref="AA9:AA17">
    <cfRule type="containsText" dxfId="2632" priority="6194" operator="containsText" text="ENTREGADO">
      <formula>NOT(ISERROR(SEARCH("ENTREGADO",AA9)))</formula>
    </cfRule>
    <cfRule type="containsText" dxfId="2631" priority="6198" operator="containsText" text="PENDIENTE">
      <formula>NOT(ISERROR(SEARCH("PENDIENTE",AA9)))</formula>
    </cfRule>
    <cfRule type="containsText" dxfId="2630" priority="6209" operator="containsText" text="ENTREGADO">
      <formula>NOT(ISERROR(SEARCH("ENTREGADO",#REF!)))</formula>
    </cfRule>
    <cfRule type="containsText" dxfId="2629" priority="6207" operator="containsText" text="ENTREGADO">
      <formula>NOT(ISERROR(SEARCH("ENTREGADO",#REF!)))</formula>
    </cfRule>
    <cfRule type="containsText" dxfId="2628" priority="6195" operator="containsText" text="ENTREGADO">
      <formula>NOT(ISERROR(SEARCH("ENTREGADO",#REF!)))</formula>
    </cfRule>
    <cfRule type="containsText" dxfId="2627" priority="6211" operator="containsText" text="ENTREGADO">
      <formula>NOT(ISERROR(SEARCH("ENTREGADO",AA9)))</formula>
    </cfRule>
    <cfRule type="containsText" dxfId="2626" priority="6210" operator="containsText" text="ENTREGADO">
      <formula>NOT(ISERROR(SEARCH("ENTREGADO",#REF!)))</formula>
    </cfRule>
    <cfRule type="containsText" dxfId="2625" priority="6212" operator="containsText" text="PENDIENTE">
      <formula>NOT(ISERROR(SEARCH("PENDIENTE",AA9)))</formula>
    </cfRule>
    <cfRule type="containsText" dxfId="2624" priority="6199" operator="containsText" text="ENTREGADO">
      <formula>NOT(ISERROR(SEARCH("ENTREGADO",AA9)))</formula>
    </cfRule>
    <cfRule type="containsText" dxfId="2623" priority="6200" operator="containsText" text="ENTREGADO">
      <formula>NOT(ISERROR(SEARCH("ENTREGADO",AA9)))</formula>
    </cfRule>
    <cfRule type="containsText" dxfId="2622" priority="6214" operator="containsText" text="PENDIENTE">
      <formula>NOT(ISERROR(SEARCH("PENDIENTE",AA9)))</formula>
    </cfRule>
    <cfRule type="containsText" dxfId="2621" priority="6215" operator="containsText" text="ENTREGADO">
      <formula>NOT(ISERROR(SEARCH("ENTREGADO",AA9)))</formula>
    </cfRule>
    <cfRule type="containsText" dxfId="2620" priority="6201" operator="containsText" text="PENDIENTE">
      <formula>NOT(ISERROR(SEARCH("PENDIENTE",AA9)))</formula>
    </cfRule>
    <cfRule type="containsText" dxfId="2619" priority="6213" operator="containsText" text="ENTREGADO">
      <formula>NOT(ISERROR(SEARCH("ENTREGADO",AA9)))</formula>
    </cfRule>
    <cfRule type="containsText" dxfId="2618" priority="6202" operator="containsText" text="ENTREGADO">
      <formula>NOT(ISERROR(SEARCH("ENTREGADO",AA9)))</formula>
    </cfRule>
    <cfRule type="containsText" dxfId="2617" priority="6203" operator="containsText" text="PENDIENTE">
      <formula>NOT(ISERROR(SEARCH("PENDIENTE",#REF!)))</formula>
    </cfRule>
    <cfRule type="containsText" dxfId="2616" priority="6205" operator="containsText" text="ENTREGADO">
      <formula>NOT(ISERROR(SEARCH("ENTREGADO",#REF!)))</formula>
    </cfRule>
    <cfRule type="containsText" dxfId="2615" priority="6206" operator="containsText" text="PENDIENTE">
      <formula>NOT(ISERROR(SEARCH("PENDIENTE",#REF!)))</formula>
    </cfRule>
    <cfRule type="containsText" dxfId="2614" priority="6208" operator="containsText" text="PENDIENTE">
      <formula>NOT(ISERROR(SEARCH("PENDIENTE",#REF!)))</formula>
    </cfRule>
  </conditionalFormatting>
  <conditionalFormatting sqref="AA18:AA22">
    <cfRule type="containsText" dxfId="2613" priority="6156" operator="containsText" text="PENDIENTE">
      <formula>NOT(ISERROR(SEARCH("PENDIENTE",#REF!)))</formula>
    </cfRule>
    <cfRule type="containsText" dxfId="2612" priority="6157" operator="containsText" text="ENTREGADO">
      <formula>NOT(ISERROR(SEARCH("ENTREGADO",#REF!)))</formula>
    </cfRule>
    <cfRule type="containsText" dxfId="2611" priority="6158" operator="containsText" text="PENDIENTE">
      <formula>NOT(ISERROR(SEARCH("PENDIENTE",#REF!)))</formula>
    </cfRule>
    <cfRule type="containsText" dxfId="2610" priority="6159" operator="containsText" text="ENTREGADO">
      <formula>NOT(ISERROR(SEARCH("ENTREGADO",#REF!)))</formula>
    </cfRule>
    <cfRule type="containsText" dxfId="2609" priority="6160" operator="containsText" text="PENDIENTE">
      <formula>NOT(ISERROR(SEARCH("PENDIENTE",#REF!)))</formula>
    </cfRule>
    <cfRule type="containsText" dxfId="2608" priority="6161" operator="containsText" text="ENTREGADO">
      <formula>NOT(ISERROR(SEARCH("ENTREGADO",#REF!)))</formula>
    </cfRule>
    <cfRule type="containsText" dxfId="2607" priority="6162" operator="containsText" text="ENTREGADO">
      <formula>NOT(ISERROR(SEARCH("ENTREGADO",#REF!)))</formula>
    </cfRule>
    <cfRule type="containsText" dxfId="2606" priority="6167" operator="containsText" text="ENTREGADO">
      <formula>NOT(ISERROR(SEARCH("ENTREGADO",AA18)))</formula>
    </cfRule>
    <cfRule type="containsText" dxfId="2605" priority="6166" operator="containsText" text="PENDIENTE">
      <formula>NOT(ISERROR(SEARCH("PENDIENTE",AA18)))</formula>
    </cfRule>
    <cfRule type="containsText" dxfId="2604" priority="6165" operator="containsText" text="ENTREGADO">
      <formula>NOT(ISERROR(SEARCH("ENTREGADO",AA18)))</formula>
    </cfRule>
    <cfRule type="containsText" dxfId="2603" priority="6170" operator="containsText" text="PRIORIDAD">
      <formula>NOT(ISERROR(SEARCH("PRIORIDAD",AA18)))</formula>
    </cfRule>
    <cfRule type="containsText" dxfId="2602" priority="6152" operator="containsText" text="ENTREGADO">
      <formula>NOT(ISERROR(SEARCH("ENTREGADO",AA18)))</formula>
    </cfRule>
    <cfRule type="containsText" dxfId="2601" priority="6153" operator="containsText" text="ENTREGADO">
      <formula>NOT(ISERROR(SEARCH("ENTREGADO",AA18)))</formula>
    </cfRule>
    <cfRule type="containsText" dxfId="2600" priority="6154" operator="containsText" text="PENDIENTE">
      <formula>NOT(ISERROR(SEARCH("PENDIENTE",AA18)))</formula>
    </cfRule>
    <cfRule type="containsText" dxfId="2599" priority="6163" operator="containsText" text="ENTREGADO">
      <formula>NOT(ISERROR(SEARCH("ENTREGADO",AA18)))</formula>
    </cfRule>
    <cfRule type="containsText" dxfId="2598" priority="6155" operator="containsText" text="ENTREGADO">
      <formula>NOT(ISERROR(SEARCH("ENTREGADO",AA18)))</formula>
    </cfRule>
    <cfRule type="containsText" dxfId="2597" priority="6150" operator="containsText" text="ENTREGADO">
      <formula>NOT(ISERROR(SEARCH("ENTREGADO",AA18)))</formula>
    </cfRule>
    <cfRule type="containsText" dxfId="2596" priority="6151" operator="containsText" text="PENDIENTE">
      <formula>NOT(ISERROR(SEARCH("PENDIENTE",AA18)))</formula>
    </cfRule>
    <cfRule type="containsText" dxfId="2595" priority="6169" operator="containsText" text="PENDIENTE">
      <formula>NOT(ISERROR(SEARCH("PENDIENTE",AA18)))</formula>
    </cfRule>
    <cfRule type="containsText" dxfId="2594" priority="6164" operator="containsText" text="PENDIENTE">
      <formula>NOT(ISERROR(SEARCH("PENDIENTE",AA18)))</formula>
    </cfRule>
    <cfRule type="containsText" dxfId="2593" priority="6168" operator="containsText" text="PENDIENTE">
      <formula>NOT(ISERROR(SEARCH("PENDIENTE",#REF!)))</formula>
    </cfRule>
    <cfRule type="containsText" dxfId="2592" priority="6171" operator="containsText" text="ENTREGADO">
      <formula>NOT(ISERROR(SEARCH("ENTREGADO",AA18)))</formula>
    </cfRule>
  </conditionalFormatting>
  <conditionalFormatting sqref="AA23">
    <cfRule type="containsText" dxfId="2591" priority="6880" operator="containsText" text="PENDIENTE">
      <formula>NOT(ISERROR(SEARCH("PENDIENTE",AA23)))</formula>
    </cfRule>
    <cfRule type="containsText" dxfId="2590" priority="6879" operator="containsText" text="ENTREGADO">
      <formula>NOT(ISERROR(SEARCH("ENTREGADO",AA23)))</formula>
    </cfRule>
    <cfRule type="containsText" dxfId="2589" priority="6878" operator="containsText" text="PENDIENTE">
      <formula>NOT(ISERROR(SEARCH("PENDIENTE",AA23)))</formula>
    </cfRule>
    <cfRule type="containsText" dxfId="2588" priority="6877" operator="containsText" text="ENTREGADO">
      <formula>NOT(ISERROR(SEARCH("ENTREGADO",AA23)))</formula>
    </cfRule>
    <cfRule type="containsText" dxfId="2587" priority="6876" operator="containsText" text="ENTREGADO">
      <formula>NOT(ISERROR(SEARCH("ENTREGADO",#REF!)))</formula>
    </cfRule>
    <cfRule type="containsText" dxfId="2586" priority="6875" operator="containsText" text="ENTREGADO">
      <formula>NOT(ISERROR(SEARCH("ENTREGADO",#REF!)))</formula>
    </cfRule>
    <cfRule type="containsText" dxfId="2585" priority="6874" operator="containsText" text="PENDIENTE">
      <formula>NOT(ISERROR(SEARCH("PENDIENTE",#REF!)))</formula>
    </cfRule>
    <cfRule type="containsText" dxfId="2584" priority="6873" operator="containsText" text="ENTREGADO">
      <formula>NOT(ISERROR(SEARCH("ENTREGADO",#REF!)))</formula>
    </cfRule>
    <cfRule type="containsText" dxfId="2583" priority="6872" operator="containsText" text="PENDIENTE">
      <formula>NOT(ISERROR(SEARCH("PENDIENTE",#REF!)))</formula>
    </cfRule>
    <cfRule type="containsText" dxfId="2582" priority="6871" operator="containsText" text="ENTREGADO">
      <formula>NOT(ISERROR(SEARCH("ENTREGADO",#REF!)))</formula>
    </cfRule>
    <cfRule type="containsText" dxfId="2581" priority="6869" operator="containsText" text="PENDIENTE">
      <formula>NOT(ISERROR(SEARCH("PENDIENTE",#REF!)))</formula>
    </cfRule>
    <cfRule type="containsText" dxfId="2580" priority="6868" operator="containsText" text="ENTREGADO">
      <formula>NOT(ISERROR(SEARCH("ENTREGADO",AA23)))</formula>
    </cfRule>
    <cfRule type="containsText" dxfId="2579" priority="6867" operator="containsText" text="PENDIENTE">
      <formula>NOT(ISERROR(SEARCH("PENDIENTE",AA23)))</formula>
    </cfRule>
    <cfRule type="containsText" dxfId="2578" priority="6866" operator="containsText" text="ENTREGADO">
      <formula>NOT(ISERROR(SEARCH("ENTREGADO",AA23)))</formula>
    </cfRule>
    <cfRule type="containsText" dxfId="2577" priority="6864" operator="containsText" text="PENDIENTE">
      <formula>NOT(ISERROR(SEARCH("PENDIENTE",AA23)))</formula>
    </cfRule>
    <cfRule type="containsText" dxfId="2576" priority="6300" operator="containsText" text="ENTREGADO">
      <formula>NOT(ISERROR(SEARCH("ENTREGADO",#REF!)))</formula>
    </cfRule>
    <cfRule type="containsText" dxfId="2575" priority="6865" operator="containsText" text="ENTREGADO">
      <formula>NOT(ISERROR(SEARCH("ENTREGADO",AA23)))</formula>
    </cfRule>
    <cfRule type="containsText" dxfId="2574" priority="6881" operator="containsText" text="ENTREGADO">
      <formula>NOT(ISERROR(SEARCH("ENTREGADO",AA23)))</formula>
    </cfRule>
  </conditionalFormatting>
  <conditionalFormatting sqref="AA23:AA26">
    <cfRule type="containsText" dxfId="2573" priority="6293" operator="containsText" text="ENTREGADO">
      <formula>NOT(ISERROR(SEARCH("ENTREGADO",AA23)))</formula>
    </cfRule>
  </conditionalFormatting>
  <conditionalFormatting sqref="AA24:AA26">
    <cfRule type="containsText" dxfId="2572" priority="6283" operator="containsText" text="ENTREGADO">
      <formula>NOT(ISERROR(SEARCH("ENTREGADO",#REF!)))</formula>
    </cfRule>
    <cfRule type="containsText" dxfId="2571" priority="6286" operator="containsText" text="PENDIENTE">
      <formula>NOT(ISERROR(SEARCH("PENDIENTE",#REF!)))</formula>
    </cfRule>
    <cfRule type="containsText" dxfId="2570" priority="6287" operator="containsText" text="ENTREGADO">
      <formula>NOT(ISERROR(SEARCH("ENTREGADO",#REF!)))</formula>
    </cfRule>
    <cfRule type="containsText" dxfId="2569" priority="6289" operator="containsText" text="ENTREGADO">
      <formula>NOT(ISERROR(SEARCH("ENTREGADO",AA24)))</formula>
    </cfRule>
    <cfRule type="containsText" dxfId="2568" priority="6290" operator="containsText" text="PENDIENTE">
      <formula>NOT(ISERROR(SEARCH("PENDIENTE",AA24)))</formula>
    </cfRule>
    <cfRule type="containsText" dxfId="2567" priority="6291" operator="containsText" text="ENTREGADO">
      <formula>NOT(ISERROR(SEARCH("ENTREGADO",AA24)))</formula>
    </cfRule>
    <cfRule type="containsText" dxfId="2566" priority="6279" operator="containsText" text="PENDIENTE">
      <formula>NOT(ISERROR(SEARCH("PENDIENTE",AA24)))</formula>
    </cfRule>
    <cfRule type="containsText" dxfId="2565" priority="6292" operator="containsText" text="PENDIENTE">
      <formula>NOT(ISERROR(SEARCH("PENDIENTE",AA24)))</formula>
    </cfRule>
    <cfRule type="containsText" dxfId="2564" priority="6284" operator="containsText" text="PENDIENTE">
      <formula>NOT(ISERROR(SEARCH("PENDIENTE",#REF!)))</formula>
    </cfRule>
    <cfRule type="containsText" dxfId="2563" priority="6277" operator="containsText" text="ENTREGADO">
      <formula>NOT(ISERROR(SEARCH("ENTREGADO",AA24)))</formula>
    </cfRule>
    <cfRule type="containsText" dxfId="2562" priority="6278" operator="containsText" text="ENTREGADO">
      <formula>NOT(ISERROR(SEARCH("ENTREGADO",AA24)))</formula>
    </cfRule>
    <cfRule type="containsText" dxfId="2561" priority="6288" operator="containsText" text="ENTREGADO">
      <formula>NOT(ISERROR(SEARCH("ENTREGADO",#REF!)))</formula>
    </cfRule>
    <cfRule type="containsText" dxfId="2560" priority="6272" operator="containsText" text="ENTREGADO">
      <formula>NOT(ISERROR(SEARCH("ENTREGADO",AA24)))</formula>
    </cfRule>
    <cfRule type="containsText" dxfId="2559" priority="6273" operator="containsText" text="ENTREGADO">
      <formula>NOT(ISERROR(SEARCH("ENTREGADO",#REF!)))</formula>
    </cfRule>
    <cfRule type="containsText" dxfId="2558" priority="6280" operator="containsText" text="ENTREGADO">
      <formula>NOT(ISERROR(SEARCH("ENTREGADO",AA24)))</formula>
    </cfRule>
    <cfRule type="containsText" dxfId="2557" priority="6281" operator="containsText" text="PENDIENTE">
      <formula>NOT(ISERROR(SEARCH("PENDIENTE",#REF!)))</formula>
    </cfRule>
    <cfRule type="containsText" dxfId="2556" priority="6276" operator="containsText" text="PENDIENTE">
      <formula>NOT(ISERROR(SEARCH("PENDIENTE",AA24)))</formula>
    </cfRule>
    <cfRule type="containsText" dxfId="2555" priority="6285" operator="containsText" text="ENTREGADO">
      <formula>NOT(ISERROR(SEARCH("ENTREGADO",#REF!)))</formula>
    </cfRule>
  </conditionalFormatting>
  <conditionalFormatting sqref="AA27:AA32 AA34:AA35 AA41 AA51:AA54 AA80:AA81 AA83:AA88 AA56:AA77">
    <cfRule type="containsText" dxfId="2554" priority="6148" operator="containsText" text="PRIORIDAD">
      <formula>NOT(ISERROR(SEARCH("PRIORIDAD",AA27)))</formula>
    </cfRule>
  </conditionalFormatting>
  <conditionalFormatting sqref="AA27:AA32 AA34:AA35 AA83:AA88 AA80:AA81 AA41 AA51:AA54 AA56:AA77">
    <cfRule type="containsText" dxfId="2553" priority="6149" operator="containsText" text="ENTREGADO">
      <formula>NOT(ISERROR(SEARCH("ENTREGADO",AA27)))</formula>
    </cfRule>
    <cfRule type="containsText" dxfId="2552" priority="6134" operator="containsText" text="PENDIENTE">
      <formula>NOT(ISERROR(SEARCH("PENDIENTE",#REF!)))</formula>
    </cfRule>
    <cfRule type="containsText" dxfId="2551" priority="6133" operator="containsText" text="ENTREGADO">
      <formula>NOT(ISERROR(SEARCH("ENTREGADO",AA27)))</formula>
    </cfRule>
    <cfRule type="containsText" dxfId="2550" priority="6131" operator="containsText" text="ENTREGADO">
      <formula>NOT(ISERROR(SEARCH("ENTREGADO",AA27)))</formula>
    </cfRule>
    <cfRule type="containsText" dxfId="2549" priority="6138" operator="containsText" text="PENDIENTE">
      <formula>NOT(ISERROR(SEARCH("PENDIENTE",#REF!)))</formula>
    </cfRule>
    <cfRule type="containsText" dxfId="2548" priority="6132" operator="containsText" text="PENDIENTE">
      <formula>NOT(ISERROR(SEARCH("PENDIENTE",AA27)))</formula>
    </cfRule>
    <cfRule type="containsText" dxfId="2547" priority="6147" operator="containsText" text="PENDIENTE">
      <formula>NOT(ISERROR(SEARCH("PENDIENTE",AA27)))</formula>
    </cfRule>
    <cfRule type="containsText" dxfId="2546" priority="6135" operator="containsText" text="ENTREGADO">
      <formula>NOT(ISERROR(SEARCH("ENTREGADO",#REF!)))</formula>
    </cfRule>
    <cfRule type="containsText" dxfId="2545" priority="6136" operator="containsText" text="PENDIENTE">
      <formula>NOT(ISERROR(SEARCH("PENDIENTE",#REF!)))</formula>
    </cfRule>
    <cfRule type="containsText" dxfId="2544" priority="6130" operator="containsText" text="ENTREGADO">
      <formula>NOT(ISERROR(SEARCH("ENTREGADO",AA27)))</formula>
    </cfRule>
    <cfRule type="containsText" dxfId="2543" priority="6137" operator="containsText" text="ENTREGADO">
      <formula>NOT(ISERROR(SEARCH("ENTREGADO",#REF!)))</formula>
    </cfRule>
    <cfRule type="containsText" dxfId="2542" priority="6146" operator="containsText" text="PENDIENTE">
      <formula>NOT(ISERROR(SEARCH("PENDIENTE",#REF!)))</formula>
    </cfRule>
    <cfRule type="containsText" dxfId="2541" priority="6145" operator="containsText" text="ENTREGADO">
      <formula>NOT(ISERROR(SEARCH("ENTREGADO",AA27)))</formula>
    </cfRule>
    <cfRule type="containsText" dxfId="2540" priority="6144" operator="containsText" text="PENDIENTE">
      <formula>NOT(ISERROR(SEARCH("PENDIENTE",AA27)))</formula>
    </cfRule>
    <cfRule type="containsText" dxfId="2539" priority="6143" operator="containsText" text="ENTREGADO">
      <formula>NOT(ISERROR(SEARCH("ENTREGADO",AA27)))</formula>
    </cfRule>
    <cfRule type="containsText" dxfId="2538" priority="6142" operator="containsText" text="PENDIENTE">
      <formula>NOT(ISERROR(SEARCH("PENDIENTE",AA27)))</formula>
    </cfRule>
    <cfRule type="containsText" dxfId="2537" priority="6141" operator="containsText" text="ENTREGADO">
      <formula>NOT(ISERROR(SEARCH("ENTREGADO",AA27)))</formula>
    </cfRule>
    <cfRule type="containsText" dxfId="2536" priority="6140" operator="containsText" text="ENTREGADO">
      <formula>NOT(ISERROR(SEARCH("ENTREGADO",#REF!)))</formula>
    </cfRule>
    <cfRule type="containsText" dxfId="2535" priority="6139" operator="containsText" text="ENTREGADO">
      <formula>NOT(ISERROR(SEARCH("ENTREGADO",#REF!)))</formula>
    </cfRule>
  </conditionalFormatting>
  <conditionalFormatting sqref="AA27:AA35">
    <cfRule type="containsText" dxfId="2534" priority="5947" operator="containsText" text="PENDIENTE">
      <formula>NOT(ISERROR(SEARCH("PENDIENTE",AA27)))</formula>
    </cfRule>
    <cfRule type="containsText" dxfId="2533" priority="5941" operator="containsText" text="ENTREGADO">
      <formula>NOT(ISERROR(SEARCH("ENTREGADO",AA27)))</formula>
    </cfRule>
  </conditionalFormatting>
  <conditionalFormatting sqref="AA33">
    <cfRule type="containsText" dxfId="2532" priority="5938" operator="containsText" text="PENDIENTE">
      <formula>NOT(ISERROR(SEARCH("PENDIENTE",#REF!)))</formula>
    </cfRule>
    <cfRule type="containsText" dxfId="2531" priority="5940" operator="containsText" text="ENTREGADO">
      <formula>NOT(ISERROR(SEARCH("ENTREGADO",#REF!)))</formula>
    </cfRule>
    <cfRule type="containsText" dxfId="2530" priority="5939" operator="containsText" text="ENTREGADO">
      <formula>NOT(ISERROR(SEARCH("ENTREGADO",#REF!)))</formula>
    </cfRule>
    <cfRule type="containsText" dxfId="2529" priority="5934" operator="containsText" text="ENTREGADO">
      <formula>NOT(ISERROR(SEARCH("ENTREGADO",#REF!)))</formula>
    </cfRule>
    <cfRule type="containsText" dxfId="2528" priority="5932" operator="containsText" text="PENDIENTE">
      <formula>NOT(ISERROR(SEARCH("PENDIENTE",#REF!)))</formula>
    </cfRule>
    <cfRule type="containsText" dxfId="2527" priority="5937" operator="containsText" text="ENTREGADO">
      <formula>NOT(ISERROR(SEARCH("ENTREGADO",#REF!)))</formula>
    </cfRule>
    <cfRule type="containsText" dxfId="2526" priority="5945" operator="containsText" text="PENDIENTE">
      <formula>NOT(ISERROR(SEARCH("PENDIENTE",AA33)))</formula>
    </cfRule>
    <cfRule type="containsText" dxfId="2525" priority="5948" operator="containsText" text="ENTREGADO">
      <formula>NOT(ISERROR(SEARCH("ENTREGADO",AA33)))</formula>
    </cfRule>
    <cfRule type="containsText" dxfId="2524" priority="5931" operator="containsText" text="ENTREGADO">
      <formula>NOT(ISERROR(SEARCH("ENTREGADO",AA33)))</formula>
    </cfRule>
    <cfRule type="containsText" dxfId="2523" priority="5930" operator="containsText" text="PENDIENTE">
      <formula>NOT(ISERROR(SEARCH("PENDIENTE",AA33)))</formula>
    </cfRule>
    <cfRule type="containsText" dxfId="2522" priority="5946" operator="containsText" text="ENTREGADO">
      <formula>NOT(ISERROR(SEARCH("ENTREGADO",AA33)))</formula>
    </cfRule>
    <cfRule type="containsText" dxfId="2521" priority="5935" operator="containsText" text="PENDIENTE">
      <formula>NOT(ISERROR(SEARCH("PENDIENTE",#REF!)))</formula>
    </cfRule>
    <cfRule type="containsText" dxfId="2520" priority="5929" operator="containsText" text="ENTREGADO">
      <formula>NOT(ISERROR(SEARCH("ENTREGADO",AA33)))</formula>
    </cfRule>
    <cfRule type="containsText" dxfId="2519" priority="5928" operator="containsText" text="ENTREGADO">
      <formula>NOT(ISERROR(SEARCH("ENTREGADO",AA33)))</formula>
    </cfRule>
    <cfRule type="containsText" dxfId="2518" priority="5927" operator="containsText" text="PENDIENTE">
      <formula>NOT(ISERROR(SEARCH("PENDIENTE",AA33)))</formula>
    </cfRule>
  </conditionalFormatting>
  <conditionalFormatting sqref="AA36:AA40 AA42:AA50">
    <cfRule type="containsText" dxfId="2517" priority="1749" operator="containsText" text="PENDIENTE">
      <formula>NOT(ISERROR(SEARCH("PENDIENTE",AA36)))</formula>
    </cfRule>
    <cfRule type="containsText" dxfId="2516" priority="1748" operator="containsText" text="PENDIENTE">
      <formula>NOT(ISERROR(SEARCH("PENDIENTE",#REF!)))</formula>
    </cfRule>
    <cfRule type="containsText" dxfId="2515" priority="1746" operator="containsText" text="PENDIENTE">
      <formula>NOT(ISERROR(SEARCH("PENDIENTE",AA36)))</formula>
    </cfRule>
    <cfRule type="containsText" dxfId="2514" priority="1747" operator="containsText" text="ENTREGADO">
      <formula>NOT(ISERROR(SEARCH("ENTREGADO",AA36)))</formula>
    </cfRule>
    <cfRule type="containsText" dxfId="2513" priority="1738" operator="containsText" text="PENDIENTE">
      <formula>NOT(ISERROR(SEARCH("PENDIENTE",#REF!)))</formula>
    </cfRule>
    <cfRule type="containsText" dxfId="2512" priority="1730" operator="containsText" text="ENTREGADO">
      <formula>NOT(ISERROR(SEARCH("ENTREGADO",AA36)))</formula>
    </cfRule>
    <cfRule type="containsText" dxfId="2511" priority="1731" operator="containsText" text="PENDIENTE">
      <formula>NOT(ISERROR(SEARCH("PENDIENTE",AA36)))</formula>
    </cfRule>
    <cfRule type="containsText" dxfId="2510" priority="1733" operator="containsText" text="ENTREGADO">
      <formula>NOT(ISERROR(SEARCH("ENTREGADO",AA36)))</formula>
    </cfRule>
    <cfRule type="containsText" dxfId="2509" priority="1751" operator="containsText" text="ENTREGADO">
      <formula>NOT(ISERROR(SEARCH("ENTREGADO",AA36)))</formula>
    </cfRule>
    <cfRule type="containsText" dxfId="2508" priority="1739" operator="containsText" text="ENTREGADO">
      <formula>NOT(ISERROR(SEARCH("ENTREGADO",#REF!)))</formula>
    </cfRule>
    <cfRule type="containsText" dxfId="2507" priority="1737" operator="containsText" text="ENTREGADO">
      <formula>NOT(ISERROR(SEARCH("ENTREGADO",#REF!)))</formula>
    </cfRule>
    <cfRule type="containsText" dxfId="2506" priority="1750" operator="containsText" text="PRIORIDAD">
      <formula>NOT(ISERROR(SEARCH("PRIORIDAD",AA36)))</formula>
    </cfRule>
    <cfRule type="containsText" dxfId="2505" priority="1732" operator="containsText" text="ENTREGADO">
      <formula>NOT(ISERROR(SEARCH("ENTREGADO",AA36)))</formula>
    </cfRule>
    <cfRule type="containsText" dxfId="2504" priority="1743" operator="containsText" text="ENTREGADO">
      <formula>NOT(ISERROR(SEARCH("ENTREGADO",AA36)))</formula>
    </cfRule>
    <cfRule type="containsText" dxfId="2503" priority="1744" operator="containsText" text="PENDIENTE">
      <formula>NOT(ISERROR(SEARCH("PENDIENTE",AA36)))</formula>
    </cfRule>
    <cfRule type="containsText" dxfId="2502" priority="1742" operator="containsText" text="ENTREGADO">
      <formula>NOT(ISERROR(SEARCH("ENTREGADO",#REF!)))</formula>
    </cfRule>
    <cfRule type="containsText" dxfId="2501" priority="1741" operator="containsText" text="ENTREGADO">
      <formula>NOT(ISERROR(SEARCH("ENTREGADO",#REF!)))</formula>
    </cfRule>
    <cfRule type="containsText" dxfId="2500" priority="1740" operator="containsText" text="PENDIENTE">
      <formula>NOT(ISERROR(SEARCH("PENDIENTE",#REF!)))</formula>
    </cfRule>
    <cfRule type="containsText" dxfId="2499" priority="1736" operator="containsText" text="PENDIENTE">
      <formula>NOT(ISERROR(SEARCH("PENDIENTE",#REF!)))</formula>
    </cfRule>
    <cfRule type="containsText" dxfId="2498" priority="1735" operator="containsText" text="ENTREGADO">
      <formula>NOT(ISERROR(SEARCH("ENTREGADO",AA36)))</formula>
    </cfRule>
    <cfRule type="containsText" dxfId="2497" priority="1734" operator="containsText" text="PENDIENTE">
      <formula>NOT(ISERROR(SEARCH("PENDIENTE",AA36)))</formula>
    </cfRule>
    <cfRule type="containsText" dxfId="2496" priority="1745" operator="containsText" text="ENTREGADO">
      <formula>NOT(ISERROR(SEARCH("ENTREGADO",AA36)))</formula>
    </cfRule>
  </conditionalFormatting>
  <conditionalFormatting sqref="AA55">
    <cfRule type="containsText" dxfId="2495" priority="563" operator="containsText" text="ENTREGADO">
      <formula>NOT(ISERROR(SEARCH("ENTREGADO",#REF!)))</formula>
    </cfRule>
    <cfRule type="containsText" dxfId="2494" priority="564" operator="containsText" text="ENTREGADO">
      <formula>NOT(ISERROR(SEARCH("ENTREGADO",#REF!)))</formula>
    </cfRule>
    <cfRule type="containsText" dxfId="2493" priority="565" operator="containsText" text="ENTREGADO">
      <formula>NOT(ISERROR(SEARCH("ENTREGADO",AA55)))</formula>
    </cfRule>
    <cfRule type="containsText" dxfId="2492" priority="566" operator="containsText" text="PENDIENTE">
      <formula>NOT(ISERROR(SEARCH("PENDIENTE",AA55)))</formula>
    </cfRule>
    <cfRule type="containsText" dxfId="2491" priority="567" operator="containsText" text="ENTREGADO">
      <formula>NOT(ISERROR(SEARCH("ENTREGADO",AA55)))</formula>
    </cfRule>
    <cfRule type="containsText" dxfId="2490" priority="568" operator="containsText" text="PENDIENTE">
      <formula>NOT(ISERROR(SEARCH("PENDIENTE",AA55)))</formula>
    </cfRule>
    <cfRule type="containsText" dxfId="2489" priority="569" operator="containsText" text="ENTREGADO">
      <formula>NOT(ISERROR(SEARCH("ENTREGADO",AA55)))</formula>
    </cfRule>
    <cfRule type="containsText" dxfId="2488" priority="570" operator="containsText" text="PENDIENTE">
      <formula>NOT(ISERROR(SEARCH("PENDIENTE",#REF!)))</formula>
    </cfRule>
    <cfRule type="containsText" dxfId="2487" priority="571" operator="containsText" text="PENDIENTE">
      <formula>NOT(ISERROR(SEARCH("PENDIENTE",AA55)))</formula>
    </cfRule>
    <cfRule type="containsText" dxfId="2486" priority="572" operator="containsText" text="PRIORIDAD">
      <formula>NOT(ISERROR(SEARCH("PRIORIDAD",AA55)))</formula>
    </cfRule>
    <cfRule type="containsText" dxfId="2485" priority="573" operator="containsText" text="ENTREGADO">
      <formula>NOT(ISERROR(SEARCH("ENTREGADO",AA55)))</formula>
    </cfRule>
    <cfRule type="containsText" dxfId="2484" priority="554" operator="containsText" text="ENTREGADO">
      <formula>NOT(ISERROR(SEARCH("ENTREGADO",AA55)))</formula>
    </cfRule>
    <cfRule type="containsText" dxfId="2483" priority="556" operator="containsText" text="PENDIENTE">
      <formula>NOT(ISERROR(SEARCH("PENDIENTE",AA55)))</formula>
    </cfRule>
    <cfRule type="containsText" dxfId="2482" priority="557" operator="containsText" text="ENTREGADO">
      <formula>NOT(ISERROR(SEARCH("ENTREGADO",AA55)))</formula>
    </cfRule>
    <cfRule type="containsText" dxfId="2481" priority="558" operator="containsText" text="PENDIENTE">
      <formula>NOT(ISERROR(SEARCH("PENDIENTE",#REF!)))</formula>
    </cfRule>
    <cfRule type="containsText" dxfId="2480" priority="559" operator="containsText" text="ENTREGADO">
      <formula>NOT(ISERROR(SEARCH("ENTREGADO",#REF!)))</formula>
    </cfRule>
    <cfRule type="containsText" dxfId="2479" priority="560" operator="containsText" text="PENDIENTE">
      <formula>NOT(ISERROR(SEARCH("PENDIENTE",#REF!)))</formula>
    </cfRule>
    <cfRule type="containsText" dxfId="2478" priority="561" operator="containsText" text="ENTREGADO">
      <formula>NOT(ISERROR(SEARCH("ENTREGADO",#REF!)))</formula>
    </cfRule>
    <cfRule type="containsText" dxfId="2477" priority="562" operator="containsText" text="PENDIENTE">
      <formula>NOT(ISERROR(SEARCH("PENDIENTE",#REF!)))</formula>
    </cfRule>
    <cfRule type="containsText" dxfId="2476" priority="555" operator="containsText" text="ENTREGADO">
      <formula>NOT(ISERROR(SEARCH("ENTREGADO",AA55)))</formula>
    </cfRule>
  </conditionalFormatting>
  <conditionalFormatting sqref="AA78">
    <cfRule type="containsText" dxfId="2475" priority="1600" operator="containsText" text="PRIORIDAD">
      <formula>NOT(ISERROR(SEARCH("PRIORIDAD",AA78)))</formula>
    </cfRule>
    <cfRule type="containsText" dxfId="2474" priority="1589" operator="containsText" text="ENTREGADO">
      <formula>NOT(ISERROR(SEARCH("ENTREGADO",#REF!)))</formula>
    </cfRule>
    <cfRule type="containsText" dxfId="2473" priority="1601" operator="containsText" text="ENTREGADO">
      <formula>NOT(ISERROR(SEARCH("ENTREGADO",AA78)))</formula>
    </cfRule>
    <cfRule type="containsText" dxfId="2472" priority="1592" operator="containsText" text="ENTREGADO">
      <formula>NOT(ISERROR(SEARCH("ENTREGADO",#REF!)))</formula>
    </cfRule>
    <cfRule type="containsText" dxfId="2471" priority="1591" operator="containsText" text="ENTREGADO">
      <formula>NOT(ISERROR(SEARCH("ENTREGADO",#REF!)))</formula>
    </cfRule>
    <cfRule type="containsText" dxfId="2470" priority="1582" operator="containsText" text="ENTREGADO">
      <formula>NOT(ISERROR(SEARCH("ENTREGADO",AA78)))</formula>
    </cfRule>
    <cfRule type="containsText" dxfId="2469" priority="1590" operator="containsText" text="PENDIENTE">
      <formula>NOT(ISERROR(SEARCH("PENDIENTE",#REF!)))</formula>
    </cfRule>
    <cfRule type="containsText" dxfId="2468" priority="1593" operator="containsText" text="ENTREGADO">
      <formula>NOT(ISERROR(SEARCH("ENTREGADO",AA78)))</formula>
    </cfRule>
    <cfRule type="containsText" dxfId="2467" priority="1594" operator="containsText" text="PENDIENTE">
      <formula>NOT(ISERROR(SEARCH("PENDIENTE",AA78)))</formula>
    </cfRule>
    <cfRule type="containsText" dxfId="2466" priority="1599" operator="containsText" text="PENDIENTE">
      <formula>NOT(ISERROR(SEARCH("PENDIENTE",AA78)))</formula>
    </cfRule>
    <cfRule type="containsText" dxfId="2465" priority="1588" operator="containsText" text="PENDIENTE">
      <formula>NOT(ISERROR(SEARCH("PENDIENTE",#REF!)))</formula>
    </cfRule>
    <cfRule type="containsText" dxfId="2464" priority="1587" operator="containsText" text="ENTREGADO">
      <formula>NOT(ISERROR(SEARCH("ENTREGADO",#REF!)))</formula>
    </cfRule>
    <cfRule type="containsText" dxfId="2463" priority="1586" operator="containsText" text="PENDIENTE">
      <formula>NOT(ISERROR(SEARCH("PENDIENTE",#REF!)))</formula>
    </cfRule>
    <cfRule type="containsText" dxfId="2462" priority="1585" operator="containsText" text="ENTREGADO">
      <formula>NOT(ISERROR(SEARCH("ENTREGADO",AA78)))</formula>
    </cfRule>
    <cfRule type="containsText" dxfId="2461" priority="1584" operator="containsText" text="PENDIENTE">
      <formula>NOT(ISERROR(SEARCH("PENDIENTE",AA78)))</formula>
    </cfRule>
    <cfRule type="containsText" dxfId="2460" priority="1583" operator="containsText" text="ENTREGADO">
      <formula>NOT(ISERROR(SEARCH("ENTREGADO",AA78)))</formula>
    </cfRule>
    <cfRule type="containsText" dxfId="2459" priority="1598" operator="containsText" text="PENDIENTE">
      <formula>NOT(ISERROR(SEARCH("PENDIENTE",#REF!)))</formula>
    </cfRule>
    <cfRule type="containsText" dxfId="2458" priority="1597" operator="containsText" text="ENTREGADO">
      <formula>NOT(ISERROR(SEARCH("ENTREGADO",AA78)))</formula>
    </cfRule>
    <cfRule type="containsText" dxfId="2457" priority="1596" operator="containsText" text="PENDIENTE">
      <formula>NOT(ISERROR(SEARCH("PENDIENTE",AA78)))</formula>
    </cfRule>
    <cfRule type="containsText" dxfId="2456" priority="1595" operator="containsText" text="ENTREGADO">
      <formula>NOT(ISERROR(SEARCH("ENTREGADO",AA78)))</formula>
    </cfRule>
  </conditionalFormatting>
  <conditionalFormatting sqref="AA79">
    <cfRule type="containsText" dxfId="2455" priority="1495" operator="containsText" text="ENTREGADO">
      <formula>NOT(ISERROR(SEARCH("ENTREGADO",#REF!)))</formula>
    </cfRule>
    <cfRule type="containsText" dxfId="2454" priority="1497" operator="containsText" text="ENTREGADO">
      <formula>NOT(ISERROR(SEARCH("ENTREGADO",#REF!)))</formula>
    </cfRule>
    <cfRule type="containsText" dxfId="2453" priority="1491" operator="containsText" text="ENTREGADO">
      <formula>NOT(ISERROR(SEARCH("ENTREGADO",AA79)))</formula>
    </cfRule>
    <cfRule type="containsText" dxfId="2452" priority="1498" operator="containsText" text="ENTREGADO">
      <formula>NOT(ISERROR(SEARCH("ENTREGADO",#REF!)))</formula>
    </cfRule>
    <cfRule type="containsText" dxfId="2451" priority="1500" operator="containsText" text="PENDIENTE">
      <formula>NOT(ISERROR(SEARCH("PENDIENTE",AA79)))</formula>
    </cfRule>
    <cfRule type="containsText" dxfId="2450" priority="1506" operator="containsText" text="PRIORIDAD">
      <formula>NOT(ISERROR(SEARCH("PRIORIDAD",AA79)))</formula>
    </cfRule>
    <cfRule type="containsText" dxfId="2449" priority="1507" operator="containsText" text="ENTREGADO">
      <formula>NOT(ISERROR(SEARCH("ENTREGADO",AA79)))</formula>
    </cfRule>
    <cfRule type="containsText" dxfId="2448" priority="1516" operator="containsText" text="ENTREGADO">
      <formula>NOT(ISERROR(SEARCH("ENTREGADO",AA79)))</formula>
    </cfRule>
    <cfRule type="containsText" dxfId="2447" priority="1496" operator="containsText" text="PENDIENTE">
      <formula>NOT(ISERROR(SEARCH("PENDIENTE",#REF!)))</formula>
    </cfRule>
    <cfRule type="containsText" dxfId="2446" priority="1501" operator="containsText" text="ENTREGADO">
      <formula>NOT(ISERROR(SEARCH("ENTREGADO",AA79)))</formula>
    </cfRule>
    <cfRule type="containsText" dxfId="2445" priority="1503" operator="containsText" text="ENTREGADO">
      <formula>NOT(ISERROR(SEARCH("ENTREGADO",AA79)))</formula>
    </cfRule>
    <cfRule type="containsText" dxfId="2444" priority="1504" operator="containsText" text="PENDIENTE">
      <formula>NOT(ISERROR(SEARCH("PENDIENTE",#REF!)))</formula>
    </cfRule>
    <cfRule type="containsText" dxfId="2443" priority="1490" operator="containsText" text="PENDIENTE">
      <formula>NOT(ISERROR(SEARCH("PENDIENTE",AA79)))</formula>
    </cfRule>
    <cfRule type="containsText" dxfId="2442" priority="1502" operator="containsText" text="PENDIENTE">
      <formula>NOT(ISERROR(SEARCH("PENDIENTE",AA79)))</formula>
    </cfRule>
    <cfRule type="containsText" dxfId="2441" priority="1489" operator="containsText" text="ENTREGADO">
      <formula>NOT(ISERROR(SEARCH("ENTREGADO",AA79)))</formula>
    </cfRule>
    <cfRule type="containsText" dxfId="2440" priority="1517" operator="containsText" text="PENDIENTE">
      <formula>NOT(ISERROR(SEARCH("PENDIENTE",AA79)))</formula>
    </cfRule>
    <cfRule type="containsText" dxfId="2439" priority="1493" operator="containsText" text="ENTREGADO">
      <formula>NOT(ISERROR(SEARCH("ENTREGADO",#REF!)))</formula>
    </cfRule>
    <cfRule type="containsText" dxfId="2438" priority="1488" operator="containsText" text="ENTREGADO">
      <formula>NOT(ISERROR(SEARCH("ENTREGADO",AA79)))</formula>
    </cfRule>
    <cfRule type="containsText" dxfId="2437" priority="1499" operator="containsText" text="ENTREGADO">
      <formula>NOT(ISERROR(SEARCH("ENTREGADO",AA79)))</formula>
    </cfRule>
    <cfRule type="containsText" dxfId="2436" priority="1492" operator="containsText" text="PENDIENTE">
      <formula>NOT(ISERROR(SEARCH("PENDIENTE",#REF!)))</formula>
    </cfRule>
    <cfRule type="containsText" dxfId="2435" priority="1494" operator="containsText" text="PENDIENTE">
      <formula>NOT(ISERROR(SEARCH("PENDIENTE",#REF!)))</formula>
    </cfRule>
    <cfRule type="containsText" dxfId="2434" priority="1505" operator="containsText" text="PENDIENTE">
      <formula>NOT(ISERROR(SEARCH("PENDIENTE",AA79)))</formula>
    </cfRule>
  </conditionalFormatting>
  <conditionalFormatting sqref="AA82">
    <cfRule type="containsText" dxfId="2433" priority="1303" operator="containsText" text="ENTREGADO">
      <formula>NOT(ISERROR(SEARCH("ENTREGADO",AA82)))</formula>
    </cfRule>
    <cfRule type="containsText" dxfId="2432" priority="1305" operator="containsText" text="PENDIENTE">
      <formula>NOT(ISERROR(SEARCH("PENDIENTE",AA82)))</formula>
    </cfRule>
    <cfRule type="containsText" dxfId="2431" priority="1304" operator="containsText" text="ENTREGADO">
      <formula>NOT(ISERROR(SEARCH("ENTREGADO",AA82)))</formula>
    </cfRule>
    <cfRule type="containsText" dxfId="2430" priority="1293" operator="containsText" text="ENTREGADO">
      <formula>NOT(ISERROR(SEARCH("ENTREGADO",#REF!)))</formula>
    </cfRule>
    <cfRule type="containsText" dxfId="2429" priority="1284" operator="containsText" text="ENTREGADO">
      <formula>NOT(ISERROR(SEARCH("ENTREGADO",AA82)))</formula>
    </cfRule>
    <cfRule type="containsText" dxfId="2428" priority="1285" operator="containsText" text="ENTREGADO">
      <formula>NOT(ISERROR(SEARCH("ENTREGADO",AA82)))</formula>
    </cfRule>
    <cfRule type="containsText" dxfId="2427" priority="1286" operator="containsText" text="PENDIENTE">
      <formula>NOT(ISERROR(SEARCH("PENDIENTE",AA82)))</formula>
    </cfRule>
    <cfRule type="containsText" dxfId="2426" priority="1287" operator="containsText" text="ENTREGADO">
      <formula>NOT(ISERROR(SEARCH("ENTREGADO",AA82)))</formula>
    </cfRule>
    <cfRule type="containsText" dxfId="2425" priority="1288" operator="containsText" text="PENDIENTE">
      <formula>NOT(ISERROR(SEARCH("PENDIENTE",#REF!)))</formula>
    </cfRule>
    <cfRule type="containsText" dxfId="2424" priority="1289" operator="containsText" text="ENTREGADO">
      <formula>NOT(ISERROR(SEARCH("ENTREGADO",#REF!)))</formula>
    </cfRule>
    <cfRule type="containsText" dxfId="2423" priority="1290" operator="containsText" text="PENDIENTE">
      <formula>NOT(ISERROR(SEARCH("PENDIENTE",#REF!)))</formula>
    </cfRule>
    <cfRule type="containsText" dxfId="2422" priority="1291" operator="containsText" text="ENTREGADO">
      <formula>NOT(ISERROR(SEARCH("ENTREGADO",#REF!)))</formula>
    </cfRule>
    <cfRule type="containsText" dxfId="2421" priority="1292" operator="containsText" text="PENDIENTE">
      <formula>NOT(ISERROR(SEARCH("PENDIENTE",#REF!)))</formula>
    </cfRule>
    <cfRule type="containsText" dxfId="2420" priority="1294" operator="containsText" text="ENTREGADO">
      <formula>NOT(ISERROR(SEARCH("ENTREGADO",#REF!)))</formula>
    </cfRule>
    <cfRule type="containsText" dxfId="2419" priority="1295" operator="containsText" text="ENTREGADO">
      <formula>NOT(ISERROR(SEARCH("ENTREGADO",AA82)))</formula>
    </cfRule>
    <cfRule type="containsText" dxfId="2418" priority="1296" operator="containsText" text="PENDIENTE">
      <formula>NOT(ISERROR(SEARCH("PENDIENTE",AA82)))</formula>
    </cfRule>
    <cfRule type="containsText" dxfId="2417" priority="1297" operator="containsText" text="ENTREGADO">
      <formula>NOT(ISERROR(SEARCH("ENTREGADO",AA82)))</formula>
    </cfRule>
    <cfRule type="containsText" dxfId="2416" priority="1298" operator="containsText" text="PENDIENTE">
      <formula>NOT(ISERROR(SEARCH("PENDIENTE",AA82)))</formula>
    </cfRule>
    <cfRule type="containsText" dxfId="2415" priority="1299" operator="containsText" text="ENTREGADO">
      <formula>NOT(ISERROR(SEARCH("ENTREGADO",AA82)))</formula>
    </cfRule>
    <cfRule type="containsText" dxfId="2414" priority="1300" operator="containsText" text="PENDIENTE">
      <formula>NOT(ISERROR(SEARCH("PENDIENTE",#REF!)))</formula>
    </cfRule>
    <cfRule type="containsText" dxfId="2413" priority="1301" operator="containsText" text="PENDIENTE">
      <formula>NOT(ISERROR(SEARCH("PENDIENTE",AA82)))</formula>
    </cfRule>
    <cfRule type="containsText" dxfId="2412" priority="1302" operator="containsText" text="PRIORIDAD">
      <formula>NOT(ISERROR(SEARCH("PRIORIDAD",AA82)))</formula>
    </cfRule>
  </conditionalFormatting>
  <conditionalFormatting sqref="AA89">
    <cfRule type="containsText" dxfId="2411" priority="1093" operator="containsText" text="ENTREGADO">
      <formula>NOT(ISERROR(SEARCH("ENTREGADO",AA89)))</formula>
    </cfRule>
    <cfRule type="containsText" dxfId="2410" priority="1086" operator="containsText" text="PENDIENTE">
      <formula>NOT(ISERROR(SEARCH("PENDIENTE",#REF!)))</formula>
    </cfRule>
    <cfRule type="containsText" dxfId="2409" priority="1100" operator="containsText" text="ENTREGADO">
      <formula>NOT(ISERROR(SEARCH("ENTREGADO",AA89)))</formula>
    </cfRule>
    <cfRule type="containsText" dxfId="2408" priority="1099" operator="containsText" text="ENTREGADO">
      <formula>NOT(ISERROR(SEARCH("ENTREGADO",AA89)))</formula>
    </cfRule>
    <cfRule type="containsText" dxfId="2407" priority="1098" operator="containsText" text="PRIORIDAD">
      <formula>NOT(ISERROR(SEARCH("PRIORIDAD",AA89)))</formula>
    </cfRule>
    <cfRule type="containsText" dxfId="2406" priority="1091" operator="containsText" text="ENTREGADO">
      <formula>NOT(ISERROR(SEARCH("ENTREGADO",AA89)))</formula>
    </cfRule>
    <cfRule type="containsText" dxfId="2405" priority="1089" operator="containsText" text="ENTREGADO">
      <formula>NOT(ISERROR(SEARCH("ENTREGADO",#REF!)))</formula>
    </cfRule>
    <cfRule type="containsText" dxfId="2404" priority="1090" operator="containsText" text="ENTREGADO">
      <formula>NOT(ISERROR(SEARCH("ENTREGADO",#REF!)))</formula>
    </cfRule>
    <cfRule type="containsText" dxfId="2403" priority="1080" operator="containsText" text="ENTREGADO">
      <formula>NOT(ISERROR(SEARCH("ENTREGADO",AA89)))</formula>
    </cfRule>
    <cfRule type="containsText" dxfId="2402" priority="1097" operator="containsText" text="PENDIENTE">
      <formula>NOT(ISERROR(SEARCH("PENDIENTE",AA89)))</formula>
    </cfRule>
    <cfRule type="containsText" dxfId="2401" priority="1081" operator="containsText" text="ENTREGADO">
      <formula>NOT(ISERROR(SEARCH("ENTREGADO",AA89)))</formula>
    </cfRule>
    <cfRule type="containsText" dxfId="2400" priority="1082" operator="containsText" text="PENDIENTE">
      <formula>NOT(ISERROR(SEARCH("PENDIENTE",AA89)))</formula>
    </cfRule>
    <cfRule type="containsText" dxfId="2399" priority="1096" operator="containsText" text="PENDIENTE">
      <formula>NOT(ISERROR(SEARCH("PENDIENTE",#REF!)))</formula>
    </cfRule>
    <cfRule type="containsText" dxfId="2398" priority="1095" operator="containsText" text="ENTREGADO">
      <formula>NOT(ISERROR(SEARCH("ENTREGADO",AA89)))</formula>
    </cfRule>
    <cfRule type="containsText" dxfId="2397" priority="1083" operator="containsText" text="ENTREGADO">
      <formula>NOT(ISERROR(SEARCH("ENTREGADO",AA89)))</formula>
    </cfRule>
    <cfRule type="containsText" dxfId="2396" priority="1084" operator="containsText" text="PENDIENTE">
      <formula>NOT(ISERROR(SEARCH("PENDIENTE",#REF!)))</formula>
    </cfRule>
    <cfRule type="containsText" dxfId="2395" priority="1085" operator="containsText" text="ENTREGADO">
      <formula>NOT(ISERROR(SEARCH("ENTREGADO",#REF!)))</formula>
    </cfRule>
    <cfRule type="containsText" dxfId="2394" priority="1101" operator="containsText" text="PENDIENTE">
      <formula>NOT(ISERROR(SEARCH("PENDIENTE",AA89)))</formula>
    </cfRule>
    <cfRule type="containsText" dxfId="2393" priority="1092" operator="containsText" text="PENDIENTE">
      <formula>NOT(ISERROR(SEARCH("PENDIENTE",AA89)))</formula>
    </cfRule>
    <cfRule type="containsText" dxfId="2392" priority="1087" operator="containsText" text="ENTREGADO">
      <formula>NOT(ISERROR(SEARCH("ENTREGADO",#REF!)))</formula>
    </cfRule>
    <cfRule type="containsText" dxfId="2391" priority="1088" operator="containsText" text="PENDIENTE">
      <formula>NOT(ISERROR(SEARCH("PENDIENTE",#REF!)))</formula>
    </cfRule>
    <cfRule type="containsText" dxfId="2390" priority="1094" operator="containsText" text="PENDIENTE">
      <formula>NOT(ISERROR(SEARCH("PENDIENTE",AA89)))</formula>
    </cfRule>
  </conditionalFormatting>
  <conditionalFormatting sqref="AA90">
    <cfRule type="containsText" dxfId="2389" priority="1126" operator="containsText" text="PENDIENTE">
      <formula>NOT(ISERROR(SEARCH("PENDIENTE",AA90)))</formula>
    </cfRule>
    <cfRule type="containsText" dxfId="2388" priority="1130" operator="containsText" text="PENDIENTE">
      <formula>NOT(ISERROR(SEARCH("PENDIENTE",AA90)))</formula>
    </cfRule>
    <cfRule type="containsText" dxfId="2387" priority="1125" operator="containsText" text="PENDIENTE">
      <formula>NOT(ISERROR(SEARCH("PENDIENTE",#REF!)))</formula>
    </cfRule>
    <cfRule type="containsText" dxfId="2386" priority="1124" operator="containsText" text="ENTREGADO">
      <formula>NOT(ISERROR(SEARCH("ENTREGADO",AA90)))</formula>
    </cfRule>
    <cfRule type="containsText" dxfId="2385" priority="1123" operator="containsText" text="PENDIENTE">
      <formula>NOT(ISERROR(SEARCH("PENDIENTE",AA90)))</formula>
    </cfRule>
    <cfRule type="containsText" dxfId="2384" priority="1127" operator="containsText" text="PRIORIDAD">
      <formula>NOT(ISERROR(SEARCH("PRIORIDAD",AA90)))</formula>
    </cfRule>
    <cfRule type="containsText" dxfId="2383" priority="1122" operator="containsText" text="ENTREGADO">
      <formula>NOT(ISERROR(SEARCH("ENTREGADO",AA90)))</formula>
    </cfRule>
    <cfRule type="containsText" dxfId="2382" priority="1121" operator="containsText" text="PENDIENTE">
      <formula>NOT(ISERROR(SEARCH("PENDIENTE",AA90)))</formula>
    </cfRule>
    <cfRule type="containsText" dxfId="2381" priority="1119" operator="containsText" text="ENTREGADO">
      <formula>NOT(ISERROR(SEARCH("ENTREGADO",#REF!)))</formula>
    </cfRule>
    <cfRule type="containsText" dxfId="2380" priority="1120" operator="containsText" text="ENTREGADO">
      <formula>NOT(ISERROR(SEARCH("ENTREGADO",AA90)))</formula>
    </cfRule>
    <cfRule type="containsText" dxfId="2379" priority="1117" operator="containsText" text="PENDIENTE">
      <formula>NOT(ISERROR(SEARCH("PENDIENTE",#REF!)))</formula>
    </cfRule>
    <cfRule type="containsText" dxfId="2378" priority="1116" operator="containsText" text="ENTREGADO">
      <formula>NOT(ISERROR(SEARCH("ENTREGADO",#REF!)))</formula>
    </cfRule>
    <cfRule type="containsText" dxfId="2377" priority="1115" operator="containsText" text="PENDIENTE">
      <formula>NOT(ISERROR(SEARCH("PENDIENTE",#REF!)))</formula>
    </cfRule>
    <cfRule type="containsText" dxfId="2376" priority="1114" operator="containsText" text="ENTREGADO">
      <formula>NOT(ISERROR(SEARCH("ENTREGADO",#REF!)))</formula>
    </cfRule>
    <cfRule type="containsText" dxfId="2375" priority="1129" operator="containsText" text="ENTREGADO">
      <formula>NOT(ISERROR(SEARCH("ENTREGADO",AA90)))</formula>
    </cfRule>
    <cfRule type="containsText" dxfId="2374" priority="1110" operator="containsText" text="ENTREGADO">
      <formula>NOT(ISERROR(SEARCH("ENTREGADO",AA90)))</formula>
    </cfRule>
    <cfRule type="containsText" dxfId="2373" priority="1118" operator="containsText" text="ENTREGADO">
      <formula>NOT(ISERROR(SEARCH("ENTREGADO",#REF!)))</formula>
    </cfRule>
    <cfRule type="containsText" dxfId="2372" priority="1109" operator="containsText" text="ENTREGADO">
      <formula>NOT(ISERROR(SEARCH("ENTREGADO",AA90)))</formula>
    </cfRule>
    <cfRule type="containsText" dxfId="2371" priority="1113" operator="containsText" text="PENDIENTE">
      <formula>NOT(ISERROR(SEARCH("PENDIENTE",#REF!)))</formula>
    </cfRule>
    <cfRule type="containsText" dxfId="2370" priority="1112" operator="containsText" text="ENTREGADO">
      <formula>NOT(ISERROR(SEARCH("ENTREGADO",AA90)))</formula>
    </cfRule>
    <cfRule type="containsText" dxfId="2369" priority="1111" operator="containsText" text="PENDIENTE">
      <formula>NOT(ISERROR(SEARCH("PENDIENTE",AA90)))</formula>
    </cfRule>
    <cfRule type="containsText" dxfId="2368" priority="1128" operator="containsText" text="ENTREGADO">
      <formula>NOT(ISERROR(SEARCH("ENTREGADO",AA90)))</formula>
    </cfRule>
  </conditionalFormatting>
  <conditionalFormatting sqref="AA91">
    <cfRule type="containsText" dxfId="2367" priority="943" operator="containsText" text="PENDIENTE">
      <formula>NOT(ISERROR(SEARCH("PENDIENTE",#REF!)))</formula>
    </cfRule>
    <cfRule type="containsText" dxfId="2366" priority="944" operator="containsText" text="ENTREGADO">
      <formula>NOT(ISERROR(SEARCH("ENTREGADO",#REF!)))</formula>
    </cfRule>
    <cfRule type="containsText" dxfId="2365" priority="945" operator="containsText" text="PENDIENTE">
      <formula>NOT(ISERROR(SEARCH("PENDIENTE",#REF!)))</formula>
    </cfRule>
    <cfRule type="containsText" dxfId="2364" priority="946" operator="containsText" text="ENTREGADO">
      <formula>NOT(ISERROR(SEARCH("ENTREGADO",#REF!)))</formula>
    </cfRule>
    <cfRule type="containsText" dxfId="2363" priority="947" operator="containsText" text="PENDIENTE">
      <formula>NOT(ISERROR(SEARCH("PENDIENTE",#REF!)))</formula>
    </cfRule>
    <cfRule type="containsText" dxfId="2362" priority="948" operator="containsText" text="ENTREGADO">
      <formula>NOT(ISERROR(SEARCH("ENTREGADO",#REF!)))</formula>
    </cfRule>
    <cfRule type="containsText" dxfId="2361" priority="949" operator="containsText" text="ENTREGADO">
      <formula>NOT(ISERROR(SEARCH("ENTREGADO",#REF!)))</formula>
    </cfRule>
    <cfRule type="containsText" dxfId="2360" priority="950" operator="containsText" text="ENTREGADO">
      <formula>NOT(ISERROR(SEARCH("ENTREGADO",AA91)))</formula>
    </cfRule>
    <cfRule type="containsText" dxfId="2359" priority="951" operator="containsText" text="PENDIENTE">
      <formula>NOT(ISERROR(SEARCH("PENDIENTE",AA91)))</formula>
    </cfRule>
    <cfRule type="containsText" dxfId="2358" priority="952" operator="containsText" text="ENTREGADO">
      <formula>NOT(ISERROR(SEARCH("ENTREGADO",AA91)))</formula>
    </cfRule>
    <cfRule type="containsText" dxfId="2357" priority="953" operator="containsText" text="PENDIENTE">
      <formula>NOT(ISERROR(SEARCH("PENDIENTE",AA91)))</formula>
    </cfRule>
    <cfRule type="containsText" dxfId="2356" priority="954" operator="containsText" text="ENTREGADO">
      <formula>NOT(ISERROR(SEARCH("ENTREGADO",AA91)))</formula>
    </cfRule>
    <cfRule type="containsText" dxfId="2355" priority="955" operator="containsText" text="PENDIENTE">
      <formula>NOT(ISERROR(SEARCH("PENDIENTE",#REF!)))</formula>
    </cfRule>
    <cfRule type="containsText" dxfId="2354" priority="956" operator="containsText" text="PENDIENTE">
      <formula>NOT(ISERROR(SEARCH("PENDIENTE",AA91)))</formula>
    </cfRule>
    <cfRule type="containsText" dxfId="2353" priority="957" operator="containsText" text="PRIORIDAD">
      <formula>NOT(ISERROR(SEARCH("PRIORIDAD",AA91)))</formula>
    </cfRule>
    <cfRule type="containsText" dxfId="2352" priority="959" operator="containsText" text="ENTREGADO">
      <formula>NOT(ISERROR(SEARCH("ENTREGADO",AA91)))</formula>
    </cfRule>
    <cfRule type="containsText" dxfId="2351" priority="960" operator="containsText" text="PENDIENTE">
      <formula>NOT(ISERROR(SEARCH("PENDIENTE",AA91)))</formula>
    </cfRule>
    <cfRule type="containsText" dxfId="2350" priority="958" operator="containsText" text="ENTREGADO">
      <formula>NOT(ISERROR(SEARCH("ENTREGADO",AA91)))</formula>
    </cfRule>
    <cfRule type="containsText" dxfId="2349" priority="939" operator="containsText" text="ENTREGADO">
      <formula>NOT(ISERROR(SEARCH("ENTREGADO",AA91)))</formula>
    </cfRule>
    <cfRule type="containsText" dxfId="2348" priority="940" operator="containsText" text="ENTREGADO">
      <formula>NOT(ISERROR(SEARCH("ENTREGADO",AA91)))</formula>
    </cfRule>
    <cfRule type="containsText" dxfId="2347" priority="941" operator="containsText" text="PENDIENTE">
      <formula>NOT(ISERROR(SEARCH("PENDIENTE",AA91)))</formula>
    </cfRule>
    <cfRule type="containsText" dxfId="2346" priority="942" operator="containsText" text="ENTREGADO">
      <formula>NOT(ISERROR(SEARCH("ENTREGADO",AA91)))</formula>
    </cfRule>
  </conditionalFormatting>
  <conditionalFormatting sqref="AA92">
    <cfRule type="containsText" dxfId="2345" priority="799" operator="containsText" text="ENTREGADO">
      <formula>NOT(ISERROR(SEARCH("ENTREGADO",AA92)))</formula>
    </cfRule>
    <cfRule type="containsText" dxfId="2344" priority="800" operator="containsText" text="PENDIENTE">
      <formula>NOT(ISERROR(SEARCH("PENDIENTE",AA92)))</formula>
    </cfRule>
    <cfRule type="containsText" dxfId="2343" priority="801" operator="containsText" text="ENTREGADO">
      <formula>NOT(ISERROR(SEARCH("ENTREGADO",AA92)))</formula>
    </cfRule>
    <cfRule type="containsText" dxfId="2342" priority="802" operator="containsText" text="PENDIENTE">
      <formula>NOT(ISERROR(SEARCH("PENDIENTE",#REF!)))</formula>
    </cfRule>
    <cfRule type="containsText" dxfId="2341" priority="803" operator="containsText" text="ENTREGADO">
      <formula>NOT(ISERROR(SEARCH("ENTREGADO",#REF!)))</formula>
    </cfRule>
    <cfRule type="containsText" dxfId="2340" priority="812" operator="containsText" text="PENDIENTE">
      <formula>NOT(ISERROR(SEARCH("PENDIENTE",AA92)))</formula>
    </cfRule>
    <cfRule type="containsText" dxfId="2339" priority="809" operator="containsText" text="ENTREGADO">
      <formula>NOT(ISERROR(SEARCH("ENTREGADO",AA92)))</formula>
    </cfRule>
    <cfRule type="containsText" dxfId="2338" priority="819" operator="containsText" text="PENDIENTE">
      <formula>NOT(ISERROR(SEARCH("PENDIENTE",AA92)))</formula>
    </cfRule>
    <cfRule type="containsText" dxfId="2337" priority="804" operator="containsText" text="PENDIENTE">
      <formula>NOT(ISERROR(SEARCH("PENDIENTE",#REF!)))</formula>
    </cfRule>
    <cfRule type="containsText" dxfId="2336" priority="818" operator="containsText" text="ENTREGADO">
      <formula>NOT(ISERROR(SEARCH("ENTREGADO",AA92)))</formula>
    </cfRule>
    <cfRule type="containsText" dxfId="2335" priority="817" operator="containsText" text="ENTREGADO">
      <formula>NOT(ISERROR(SEARCH("ENTREGADO",AA92)))</formula>
    </cfRule>
    <cfRule type="containsText" dxfId="2334" priority="816" operator="containsText" text="PRIORIDAD">
      <formula>NOT(ISERROR(SEARCH("PRIORIDAD",AA92)))</formula>
    </cfRule>
    <cfRule type="containsText" dxfId="2333" priority="815" operator="containsText" text="PENDIENTE">
      <formula>NOT(ISERROR(SEARCH("PENDIENTE",AA92)))</formula>
    </cfRule>
    <cfRule type="containsText" dxfId="2332" priority="805" operator="containsText" text="ENTREGADO">
      <formula>NOT(ISERROR(SEARCH("ENTREGADO",#REF!)))</formula>
    </cfRule>
    <cfRule type="containsText" dxfId="2331" priority="814" operator="containsText" text="PENDIENTE">
      <formula>NOT(ISERROR(SEARCH("PENDIENTE",#REF!)))</formula>
    </cfRule>
    <cfRule type="containsText" dxfId="2330" priority="806" operator="containsText" text="PENDIENTE">
      <formula>NOT(ISERROR(SEARCH("PENDIENTE",#REF!)))</formula>
    </cfRule>
    <cfRule type="containsText" dxfId="2329" priority="807" operator="containsText" text="ENTREGADO">
      <formula>NOT(ISERROR(SEARCH("ENTREGADO",#REF!)))</formula>
    </cfRule>
    <cfRule type="containsText" dxfId="2328" priority="813" operator="containsText" text="ENTREGADO">
      <formula>NOT(ISERROR(SEARCH("ENTREGADO",AA92)))</formula>
    </cfRule>
    <cfRule type="containsText" dxfId="2327" priority="808" operator="containsText" text="ENTREGADO">
      <formula>NOT(ISERROR(SEARCH("ENTREGADO",#REF!)))</formula>
    </cfRule>
    <cfRule type="containsText" dxfId="2326" priority="810" operator="containsText" text="PENDIENTE">
      <formula>NOT(ISERROR(SEARCH("PENDIENTE",AA92)))</formula>
    </cfRule>
    <cfRule type="containsText" dxfId="2325" priority="811" operator="containsText" text="ENTREGADO">
      <formula>NOT(ISERROR(SEARCH("ENTREGADO",AA92)))</formula>
    </cfRule>
    <cfRule type="containsText" dxfId="2324" priority="798" operator="containsText" text="ENTREGADO">
      <formula>NOT(ISERROR(SEARCH("ENTREGADO",AA92)))</formula>
    </cfRule>
  </conditionalFormatting>
  <conditionalFormatting sqref="AB4">
    <cfRule type="containsText" dxfId="2323" priority="18713" operator="containsText" text="ENTREGADO">
      <formula>NOT(ISERROR(SEARCH("ENTREGADO",AB4)))</formula>
    </cfRule>
    <cfRule type="containsText" dxfId="2322" priority="18711" operator="containsText" text="PENDIENTE">
      <formula>NOT(ISERROR(SEARCH("PENDIENTE",#REF!)))</formula>
    </cfRule>
    <cfRule type="containsText" dxfId="2321" priority="18710" operator="containsText" text="ENTREGADO">
      <formula>NOT(ISERROR(SEARCH("ENTREGADO",AB4)))</formula>
    </cfRule>
    <cfRule type="containsText" dxfId="2320" priority="18709" operator="containsText" text="ENTREGADO">
      <formula>NOT(ISERROR(SEARCH("ENTREGADO",#REF!)))</formula>
    </cfRule>
    <cfRule type="containsText" dxfId="2319" priority="18712" operator="containsText" text="PENDIENTE">
      <formula>NOT(ISERROR(SEARCH("PENDIENTE",AB4)))</formula>
    </cfRule>
  </conditionalFormatting>
  <conditionalFormatting sqref="AB27">
    <cfRule type="containsText" dxfId="2318" priority="12241" operator="containsText" text="PENDIENTE">
      <formula>NOT(ISERROR(SEARCH("PENDIENTE",AB27)))</formula>
    </cfRule>
    <cfRule type="containsText" dxfId="2317" priority="12237" operator="containsText" text="ENTREGADO">
      <formula>NOT(ISERROR(SEARCH("ENTREGADO",AB27)))</formula>
    </cfRule>
    <cfRule type="containsText" dxfId="2316" priority="12242" operator="containsText" text="ENTREGADO">
      <formula>NOT(ISERROR(SEARCH("ENTREGADO",AB27)))</formula>
    </cfRule>
    <cfRule type="containsText" dxfId="2315" priority="12235" operator="containsText" text="PENDIENTE">
      <formula>NOT(ISERROR(SEARCH("PENDIENTE",#REF!)))</formula>
    </cfRule>
    <cfRule type="containsText" dxfId="2314" priority="12240" operator="containsText" text="PENDIENTE">
      <formula>NOT(ISERROR(SEARCH("PENDIENTE",#REF!)))</formula>
    </cfRule>
    <cfRule type="containsText" dxfId="2313" priority="12239" operator="containsText" text="ENTREGADO">
      <formula>NOT(ISERROR(SEARCH("ENTREGADO",AB27)))</formula>
    </cfRule>
    <cfRule type="containsText" dxfId="2312" priority="12238" operator="containsText" text="ENTREGADO">
      <formula>NOT(ISERROR(SEARCH("ENTREGADO",#REF!)))</formula>
    </cfRule>
  </conditionalFormatting>
  <conditionalFormatting sqref="AB28">
    <cfRule type="containsText" dxfId="2311" priority="22853" operator="containsText" text="PENDIENTE">
      <formula>NOT(ISERROR(SEARCH("PENDIENTE",AB28)))</formula>
    </cfRule>
    <cfRule type="containsText" dxfId="2310" priority="22852" operator="containsText" text="PENDIENTE">
      <formula>NOT(ISERROR(SEARCH("PENDIENTE",#REF!)))</formula>
    </cfRule>
    <cfRule type="containsText" dxfId="2309" priority="22851" operator="containsText" text="ENTREGADO">
      <formula>NOT(ISERROR(SEARCH("ENTREGADO",AB28)))</formula>
    </cfRule>
    <cfRule type="containsText" dxfId="2308" priority="22850" operator="containsText" text="ENTREGADO">
      <formula>NOT(ISERROR(SEARCH("ENTREGADO",#REF!)))</formula>
    </cfRule>
    <cfRule type="containsText" dxfId="2307" priority="22854" operator="containsText" text="ENTREGADO">
      <formula>NOT(ISERROR(SEARCH("ENTREGADO",AB28)))</formula>
    </cfRule>
  </conditionalFormatting>
  <conditionalFormatting sqref="AB29">
    <cfRule type="containsText" dxfId="2306" priority="20510" operator="containsText" text="ENTREGADO">
      <formula>NOT(ISERROR(SEARCH("ENTREGADO",#REF!)))</formula>
    </cfRule>
    <cfRule type="containsText" dxfId="2305" priority="20511" operator="containsText" text="ENTREGADO">
      <formula>NOT(ISERROR(SEARCH("ENTREGADO",AB29)))</formula>
    </cfRule>
    <cfRule type="containsText" dxfId="2304" priority="20512" operator="containsText" text="PENDIENTE">
      <formula>NOT(ISERROR(SEARCH("PENDIENTE",#REF!)))</formula>
    </cfRule>
    <cfRule type="containsText" dxfId="2303" priority="20514" operator="containsText" text="ENTREGADO">
      <formula>NOT(ISERROR(SEARCH("ENTREGADO",AB29)))</formula>
    </cfRule>
    <cfRule type="containsText" dxfId="2302" priority="20513" operator="containsText" text="PENDIENTE">
      <formula>NOT(ISERROR(SEARCH("PENDIENTE",AB29)))</formula>
    </cfRule>
  </conditionalFormatting>
  <conditionalFormatting sqref="AB30">
    <cfRule type="containsText" dxfId="2301" priority="18937" operator="containsText" text="PENDIENTE">
      <formula>NOT(ISERROR(SEARCH("PENDIENTE",AB30)))</formula>
    </cfRule>
    <cfRule type="containsText" dxfId="2300" priority="18936" operator="containsText" text="PENDIENTE">
      <formula>NOT(ISERROR(SEARCH("PENDIENTE",#REF!)))</formula>
    </cfRule>
    <cfRule type="containsText" dxfId="2299" priority="18935" operator="containsText" text="ENTREGADO">
      <formula>NOT(ISERROR(SEARCH("ENTREGADO",AB30)))</formula>
    </cfRule>
    <cfRule type="containsText" dxfId="2298" priority="18934" operator="containsText" text="ENTREGADO">
      <formula>NOT(ISERROR(SEARCH("ENTREGADO",#REF!)))</formula>
    </cfRule>
    <cfRule type="containsText" dxfId="2297" priority="18933" operator="containsText" text="ENTREGADO">
      <formula>NOT(ISERROR(SEARCH("ENTREGADO",AB30)))</formula>
    </cfRule>
    <cfRule type="containsText" dxfId="2296" priority="18938" operator="containsText" text="ENTREGADO">
      <formula>NOT(ISERROR(SEARCH("ENTREGADO",AB30)))</formula>
    </cfRule>
  </conditionalFormatting>
  <conditionalFormatting sqref="AB32">
    <cfRule type="containsText" dxfId="2295" priority="19817" operator="containsText" text="PENDIENTE">
      <formula>NOT(ISERROR(SEARCH("PENDIENTE",#REF!)))</formula>
    </cfRule>
    <cfRule type="containsText" dxfId="2294" priority="19818" operator="containsText" text="PENDIENTE">
      <formula>NOT(ISERROR(SEARCH("PENDIENTE",AB32)))</formula>
    </cfRule>
    <cfRule type="containsText" dxfId="2293" priority="19819" operator="containsText" text="ENTREGADO">
      <formula>NOT(ISERROR(SEARCH("ENTREGADO",AB32)))</formula>
    </cfRule>
    <cfRule type="containsText" dxfId="2292" priority="19816" operator="containsText" text="ENTREGADO">
      <formula>NOT(ISERROR(SEARCH("ENTREGADO",AB32)))</formula>
    </cfRule>
    <cfRule type="containsText" dxfId="2291" priority="19815" operator="containsText" text="ENTREGADO">
      <formula>NOT(ISERROR(SEARCH("ENTREGADO",#REF!)))</formula>
    </cfRule>
    <cfRule type="containsText" dxfId="2290" priority="19814" operator="containsText" text="ENTREGADO">
      <formula>NOT(ISERROR(SEARCH("ENTREGADO",AB32)))</formula>
    </cfRule>
  </conditionalFormatting>
  <conditionalFormatting sqref="AB34">
    <cfRule type="containsText" dxfId="2289" priority="20158" operator="containsText" text="ENTREGADO">
      <formula>NOT(ISERROR(SEARCH("ENTREGADO",#REF!)))</formula>
    </cfRule>
    <cfRule type="containsText" dxfId="2288" priority="20160" operator="containsText" text="PENDIENTE">
      <formula>NOT(ISERROR(SEARCH("PENDIENTE",#REF!)))</formula>
    </cfRule>
    <cfRule type="containsText" dxfId="2287" priority="20159" operator="containsText" text="ENTREGADO">
      <formula>NOT(ISERROR(SEARCH("ENTREGADO",AB34)))</formula>
    </cfRule>
    <cfRule type="containsText" dxfId="2286" priority="20161" operator="containsText" text="PENDIENTE">
      <formula>NOT(ISERROR(SEARCH("PENDIENTE",AB34)))</formula>
    </cfRule>
    <cfRule type="containsText" dxfId="2285" priority="20162" operator="containsText" text="ENTREGADO">
      <formula>NOT(ISERROR(SEARCH("ENTREGADO",AB34)))</formula>
    </cfRule>
  </conditionalFormatting>
  <conditionalFormatting sqref="AB40">
    <cfRule type="containsText" dxfId="2284" priority="7190" operator="containsText" text="PENDIENTE">
      <formula>NOT(ISERROR(SEARCH("PENDIENTE",AB40)))</formula>
    </cfRule>
    <cfRule type="containsText" dxfId="2283" priority="7193" operator="containsText" text="ENTREGADO">
      <formula>NOT(ISERROR(SEARCH("ENTREGADO",AB40)))</formula>
    </cfRule>
    <cfRule type="containsText" dxfId="2282" priority="7187" operator="containsText" text="ENTREGADO">
      <formula>NOT(ISERROR(SEARCH("ENTREGADO",#REF!)))</formula>
    </cfRule>
    <cfRule type="containsText" dxfId="2281" priority="7188" operator="containsText" text="ENTREGADO">
      <formula>NOT(ISERROR(SEARCH("ENTREGADO",AB40)))</formula>
    </cfRule>
    <cfRule type="containsText" dxfId="2280" priority="7189" operator="containsText" text="PENDIENTE">
      <formula>NOT(ISERROR(SEARCH("PENDIENTE",#REF!)))</formula>
    </cfRule>
    <cfRule type="containsText" dxfId="2279" priority="7191" operator="containsText" text="ENTREGADO">
      <formula>NOT(ISERROR(SEARCH("ENTREGADO",AB40)))</formula>
    </cfRule>
    <cfRule type="containsText" dxfId="2278" priority="7195" operator="containsText" text="PENDIENTE">
      <formula>NOT(ISERROR(SEARCH("PENDIENTE",AB40)))</formula>
    </cfRule>
    <cfRule type="containsText" dxfId="2277" priority="7196" operator="containsText" text="ENTREGADO">
      <formula>NOT(ISERROR(SEARCH("ENTREGADO",AB40)))</formula>
    </cfRule>
    <cfRule type="containsText" dxfId="2276" priority="7192" operator="containsText" text="ENTREGADO">
      <formula>NOT(ISERROR(SEARCH("ENTREGADO",#REF!)))</formula>
    </cfRule>
    <cfRule type="containsText" dxfId="2275" priority="7194" operator="containsText" text="PENDIENTE">
      <formula>NOT(ISERROR(SEARCH("PENDIENTE",#REF!)))</formula>
    </cfRule>
  </conditionalFormatting>
  <conditionalFormatting sqref="AB4:AC4 Y4:Z4">
    <cfRule type="containsText" dxfId="2274" priority="18714" operator="containsText" text="ENTREGADO">
      <formula>NOT(ISERROR(SEARCH("ENTREGADO",Y4)))</formula>
    </cfRule>
  </conditionalFormatting>
  <conditionalFormatting sqref="AB4:AC4">
    <cfRule type="containsText" dxfId="2273" priority="18703" operator="containsText" text="ENTREGADO">
      <formula>NOT(ISERROR(SEARCH("ENTREGADO",AB4)))</formula>
    </cfRule>
    <cfRule type="containsText" dxfId="2272" priority="18701" operator="containsText" text="PENDIENTE">
      <formula>NOT(ISERROR(SEARCH("PENDIENTE",#REF!)))</formula>
    </cfRule>
    <cfRule type="containsText" dxfId="2271" priority="18702" operator="containsText" text="PENDIENTE">
      <formula>NOT(ISERROR(SEARCH("PENDIENTE",AB4)))</formula>
    </cfRule>
    <cfRule type="containsText" dxfId="2270" priority="18699" operator="containsText" text="ENTREGADO">
      <formula>NOT(ISERROR(SEARCH("ENTREGADO",#REF!)))</formula>
    </cfRule>
    <cfRule type="containsText" dxfId="2269" priority="18700" operator="containsText" text="ENTREGADO">
      <formula>NOT(ISERROR(SEARCH("ENTREGADO",AB4)))</formula>
    </cfRule>
  </conditionalFormatting>
  <conditionalFormatting sqref="AB6:AC6 Y6:Z6">
    <cfRule type="containsText" dxfId="2268" priority="14417" operator="containsText" text="ENTREGADO">
      <formula>NOT(ISERROR(SEARCH("ENTREGADO",#REF!)))</formula>
    </cfRule>
  </conditionalFormatting>
  <conditionalFormatting sqref="AB6:AC8 Y7:Z8">
    <cfRule type="containsText" dxfId="2267" priority="9518" operator="containsText" text="ENTREGADO">
      <formula>NOT(ISERROR(SEARCH("ENTREGADO",Y6)))</formula>
    </cfRule>
    <cfRule type="containsText" dxfId="2266" priority="9519" operator="containsText" text="ENTREGADO">
      <formula>NOT(ISERROR(SEARCH("ENTREGADO",Y6)))</formula>
    </cfRule>
  </conditionalFormatting>
  <conditionalFormatting sqref="AB8:AC8 Y8:Z8">
    <cfRule type="containsText" dxfId="2265" priority="13610" operator="containsText" text="ENTREGADO">
      <formula>NOT(ISERROR(SEARCH("ENTREGADO",#REF!)))</formula>
    </cfRule>
  </conditionalFormatting>
  <conditionalFormatting sqref="AB18:AC18 Y18:Z18">
    <cfRule type="containsText" dxfId="2264" priority="10321" operator="containsText" text="ENTREGADO">
      <formula>NOT(ISERROR(SEARCH("ENTREGADO",#REF!)))</formula>
    </cfRule>
  </conditionalFormatting>
  <conditionalFormatting sqref="AB19:AC19 Y19:Z19">
    <cfRule type="containsText" dxfId="2263" priority="13530" operator="containsText" text="ENTREGADO">
      <formula>NOT(ISERROR(SEARCH("ENTREGADO",#REF!)))</formula>
    </cfRule>
  </conditionalFormatting>
  <conditionalFormatting sqref="AB20:AC20 Y20:Z20">
    <cfRule type="containsText" dxfId="2262" priority="13498" operator="containsText" text="ENTREGADO">
      <formula>NOT(ISERROR(SEARCH("ENTREGADO",#REF!)))</formula>
    </cfRule>
  </conditionalFormatting>
  <conditionalFormatting sqref="AB21:AC21 Y21:Z21">
    <cfRule type="containsText" dxfId="2261" priority="12648" operator="containsText" text="ENTREGADO">
      <formula>NOT(ISERROR(SEARCH("ENTREGADO",#REF!)))</formula>
    </cfRule>
  </conditionalFormatting>
  <conditionalFormatting sqref="AB22:AC22 Y22:Z22">
    <cfRule type="containsText" dxfId="2260" priority="10722" operator="containsText" text="ENTREGADO">
      <formula>NOT(ISERROR(SEARCH("ENTREGADO",#REF!)))</formula>
    </cfRule>
  </conditionalFormatting>
  <conditionalFormatting sqref="AB27:AC27 V27:Z27">
    <cfRule type="containsText" dxfId="2259" priority="12134" operator="containsText" text="PENDIENTE">
      <formula>NOT(ISERROR(SEARCH("PENDIENTE",V27)))</formula>
    </cfRule>
  </conditionalFormatting>
  <conditionalFormatting sqref="AB27:AC27">
    <cfRule type="containsText" dxfId="2258" priority="12251" operator="containsText" text="PENDIENTE">
      <formula>NOT(ISERROR(SEARCH("PENDIENTE",#REF!)))</formula>
    </cfRule>
    <cfRule type="containsText" dxfId="2257" priority="12252" operator="containsText" text="PENDIENTE">
      <formula>NOT(ISERROR(SEARCH("PENDIENTE",AB27)))</formula>
    </cfRule>
    <cfRule type="containsText" dxfId="2256" priority="12274" operator="containsText" text="PENDIENTE">
      <formula>NOT(ISERROR(SEARCH("PENDIENTE",AB27)))</formula>
    </cfRule>
    <cfRule type="containsText" dxfId="2255" priority="12214" operator="containsText" text="ENTREGADO">
      <formula>NOT(ISERROR(SEARCH("ENTREGADO",AB27)))</formula>
    </cfRule>
    <cfRule type="containsText" dxfId="2254" priority="12196" operator="containsText" text="ENTREGADO">
      <formula>NOT(ISERROR(SEARCH("ENTREGADO",AB27)))</formula>
    </cfRule>
    <cfRule type="containsText" dxfId="2253" priority="12228" operator="containsText" text="ENTREGADO">
      <formula>NOT(ISERROR(SEARCH("ENTREGADO",#REF!)))</formula>
    </cfRule>
    <cfRule type="containsText" dxfId="2252" priority="12197" operator="containsText" text="PENDIENTE">
      <formula>NOT(ISERROR(SEARCH("PENDIENTE",#REF!)))</formula>
    </cfRule>
    <cfRule type="containsText" dxfId="2251" priority="12198" operator="containsText" text="PENDIENTE">
      <formula>NOT(ISERROR(SEARCH("PENDIENTE",AB27)))</formula>
    </cfRule>
    <cfRule type="containsText" dxfId="2250" priority="12199" operator="containsText" text="ENTREGADO">
      <formula>NOT(ISERROR(SEARCH("ENTREGADO",AB27)))</formula>
    </cfRule>
    <cfRule type="containsText" dxfId="2249" priority="12200" operator="containsText" text="ENTREGADO">
      <formula>NOT(ISERROR(SEARCH("ENTREGADO",#REF!)))</formula>
    </cfRule>
    <cfRule type="containsText" dxfId="2248" priority="12201" operator="containsText" text="ENTREGADO">
      <formula>NOT(ISERROR(SEARCH("ENTREGADO",#REF!)))</formula>
    </cfRule>
    <cfRule type="containsText" dxfId="2247" priority="12202" operator="containsText" text="ENTREGADO">
      <formula>NOT(ISERROR(SEARCH("ENTREGADO",AB27)))</formula>
    </cfRule>
    <cfRule type="containsText" dxfId="2246" priority="12203" operator="containsText" text="PENDIENTE">
      <formula>NOT(ISERROR(SEARCH("PENDIENTE",AB27)))</formula>
    </cfRule>
    <cfRule type="containsText" dxfId="2245" priority="12204" operator="containsText" text="ENTREGADO">
      <formula>NOT(ISERROR(SEARCH("ENTREGADO",AB27)))</formula>
    </cfRule>
    <cfRule type="containsText" dxfId="2244" priority="12205" operator="containsText" text="PENDIENTE">
      <formula>NOT(ISERROR(SEARCH("PENDIENTE",#REF!)))</formula>
    </cfRule>
    <cfRule type="containsText" dxfId="2243" priority="12206" operator="containsText" text="PRIORIDAD">
      <formula>NOT(ISERROR(SEARCH("PRIORIDAD",AB27)))</formula>
    </cfRule>
    <cfRule type="containsText" dxfId="2242" priority="12207" operator="containsText" text="ENTREGADO">
      <formula>NOT(ISERROR(SEARCH("ENTREGADO",AB27)))</formula>
    </cfRule>
    <cfRule type="containsText" dxfId="2241" priority="12195" operator="containsText" text="ENTREGADO">
      <formula>NOT(ISERROR(SEARCH("ENTREGADO",#REF!)))</formula>
    </cfRule>
    <cfRule type="containsText" dxfId="2240" priority="12194" operator="containsText" text="ENTREGADO">
      <formula>NOT(ISERROR(SEARCH("ENTREGADO",AB27)))</formula>
    </cfRule>
    <cfRule type="containsText" dxfId="2239" priority="12193" operator="containsText" text="PRIORIDAD">
      <formula>NOT(ISERROR(SEARCH("PRIORIDAD",AB27)))</formula>
    </cfRule>
    <cfRule type="containsText" dxfId="2238" priority="12192" operator="containsText" text="ENTREGADO">
      <formula>NOT(ISERROR(SEARCH("ENTREGADO",AB27)))</formula>
    </cfRule>
    <cfRule type="containsText" dxfId="2237" priority="12190" operator="containsText" text="PENDIENTE">
      <formula>NOT(ISERROR(SEARCH("PENDIENTE",#REF!)))</formula>
    </cfRule>
    <cfRule type="containsText" dxfId="2236" priority="12128" operator="containsText" text="ENTREGADO">
      <formula>NOT(ISERROR(SEARCH("ENTREGADO",AB27)))</formula>
    </cfRule>
    <cfRule type="containsText" dxfId="2235" priority="12229" operator="containsText" text="ENTREGADO">
      <formula>NOT(ISERROR(SEARCH("ENTREGADO",AB27)))</formula>
    </cfRule>
    <cfRule type="containsText" dxfId="2234" priority="12231" operator="containsText" text="PENDIENTE">
      <formula>NOT(ISERROR(SEARCH("PENDIENTE",AB27)))</formula>
    </cfRule>
    <cfRule type="containsText" dxfId="2233" priority="12218" operator="containsText" text="ENTREGADO">
      <formula>NOT(ISERROR(SEARCH("ENTREGADO",AB27)))</formula>
    </cfRule>
    <cfRule type="containsText" dxfId="2232" priority="12208" operator="containsText" text="ENTREGADO">
      <formula>NOT(ISERROR(SEARCH("ENTREGADO",AB27)))</formula>
    </cfRule>
    <cfRule type="containsText" dxfId="2231" priority="12209" operator="containsText" text="PENDIENTE">
      <formula>NOT(ISERROR(SEARCH("PENDIENTE",AB27)))</formula>
    </cfRule>
    <cfRule type="containsText" dxfId="2230" priority="12210" operator="containsText" text="ENTREGADO">
      <formula>NOT(ISERROR(SEARCH("ENTREGADO",AB27)))</formula>
    </cfRule>
    <cfRule type="containsText" dxfId="2229" priority="12211" operator="containsText" text="ENTREGADO">
      <formula>NOT(ISERROR(SEARCH("ENTREGADO",AB27)))</formula>
    </cfRule>
    <cfRule type="containsText" dxfId="2228" priority="12212" operator="containsText" text="PENDIENTE">
      <formula>NOT(ISERROR(SEARCH("PENDIENTE",#REF!)))</formula>
    </cfRule>
    <cfRule type="containsText" dxfId="2227" priority="12250" operator="containsText" text="ENTREGADO">
      <formula>NOT(ISERROR(SEARCH("ENTREGADO",AB27)))</formula>
    </cfRule>
    <cfRule type="containsText" dxfId="2226" priority="12213" operator="containsText" text="PENDIENTE">
      <formula>NOT(ISERROR(SEARCH("PENDIENTE",AB27)))</formula>
    </cfRule>
    <cfRule type="containsText" dxfId="2225" priority="12215" operator="containsText" text="PRIORIDAD">
      <formula>NOT(ISERROR(SEARCH("PRIORIDAD",AB27)))</formula>
    </cfRule>
    <cfRule type="containsText" dxfId="2224" priority="12216" operator="containsText" text="ENTREGADO">
      <formula>NOT(ISERROR(SEARCH("ENTREGADO",AB27)))</formula>
    </cfRule>
    <cfRule type="containsText" dxfId="2223" priority="12217" operator="containsText" text="ENTREGADO">
      <formula>NOT(ISERROR(SEARCH("ENTREGADO",#REF!)))</formula>
    </cfRule>
    <cfRule type="containsText" dxfId="2222" priority="12222" operator="containsText" text="ENTREGADO">
      <formula>NOT(ISERROR(SEARCH("ENTREGADO",#REF!)))</formula>
    </cfRule>
    <cfRule type="containsText" dxfId="2221" priority="12219" operator="containsText" text="PENDIENTE">
      <formula>NOT(ISERROR(SEARCH("PENDIENTE",#REF!)))</formula>
    </cfRule>
    <cfRule type="containsText" dxfId="2220" priority="12220" operator="containsText" text="PENDIENTE">
      <formula>NOT(ISERROR(SEARCH("PENDIENTE",AB27)))</formula>
    </cfRule>
    <cfRule type="containsText" dxfId="2219" priority="12243" operator="containsText" text="ENTREGADO">
      <formula>NOT(ISERROR(SEARCH("ENTREGADO",AB27)))</formula>
    </cfRule>
    <cfRule type="containsText" dxfId="2218" priority="12221" operator="containsText" text="ENTREGADO">
      <formula>NOT(ISERROR(SEARCH("ENTREGADO",AB27)))</formula>
    </cfRule>
    <cfRule type="containsText" dxfId="2217" priority="12244" operator="containsText" text="PENDIENTE">
      <formula>NOT(ISERROR(SEARCH("PENDIENTE",AB27)))</formula>
    </cfRule>
    <cfRule type="containsText" dxfId="2216" priority="12245" operator="containsText" text="PENDIENTE">
      <formula>NOT(ISERROR(SEARCH("PENDIENTE",#REF!)))</formula>
    </cfRule>
    <cfRule type="containsText" dxfId="2215" priority="12246" operator="containsText" text="ENTREGADO">
      <formula>NOT(ISERROR(SEARCH("ENTREGADO",AB27)))</formula>
    </cfRule>
    <cfRule type="containsText" dxfId="2214" priority="12247" operator="containsText" text="PRIORIDAD">
      <formula>NOT(ISERROR(SEARCH("PRIORIDAD",AB27)))</formula>
    </cfRule>
    <cfRule type="containsText" dxfId="2213" priority="12248" operator="containsText" text="ENTREGADO">
      <formula>NOT(ISERROR(SEARCH("ENTREGADO",AB27)))</formula>
    </cfRule>
    <cfRule type="containsText" dxfId="2212" priority="12249" operator="containsText" text="ENTREGADO">
      <formula>NOT(ISERROR(SEARCH("ENTREGADO",#REF!)))</formula>
    </cfRule>
  </conditionalFormatting>
  <conditionalFormatting sqref="AB28:AC28 Y28:Z28">
    <cfRule type="containsText" dxfId="2211" priority="22855" operator="containsText" text="ENTREGADO">
      <formula>NOT(ISERROR(SEARCH("ENTREGADO",Y28)))</formula>
    </cfRule>
  </conditionalFormatting>
  <conditionalFormatting sqref="AB28:AC28">
    <cfRule type="containsText" dxfId="2210" priority="22842" operator="containsText" text="PENDIENTE">
      <formula>NOT(ISERROR(SEARCH("PENDIENTE",#REF!)))</formula>
    </cfRule>
    <cfRule type="containsText" dxfId="2209" priority="22844" operator="containsText" text="ENTREGADO">
      <formula>NOT(ISERROR(SEARCH("ENTREGADO",AB28)))</formula>
    </cfRule>
    <cfRule type="containsText" dxfId="2208" priority="22841" operator="containsText" text="ENTREGADO">
      <formula>NOT(ISERROR(SEARCH("ENTREGADO",AB28)))</formula>
    </cfRule>
    <cfRule type="containsText" dxfId="2207" priority="22840" operator="containsText" text="ENTREGADO">
      <formula>NOT(ISERROR(SEARCH("ENTREGADO",#REF!)))</formula>
    </cfRule>
    <cfRule type="containsText" dxfId="2206" priority="22843" operator="containsText" text="PENDIENTE">
      <formula>NOT(ISERROR(SEARCH("PENDIENTE",AB28)))</formula>
    </cfRule>
  </conditionalFormatting>
  <conditionalFormatting sqref="AB29:AC29 Y29:Z29">
    <cfRule type="containsText" dxfId="2205" priority="20515" operator="containsText" text="ENTREGADO">
      <formula>NOT(ISERROR(SEARCH("ENTREGADO",Y29)))</formula>
    </cfRule>
    <cfRule type="containsText" dxfId="2204" priority="20465" operator="containsText" text="PRIORIDAD">
      <formula>NOT(ISERROR(SEARCH("PRIORIDAD",Y29)))</formula>
    </cfRule>
  </conditionalFormatting>
  <conditionalFormatting sqref="AB29:AC29">
    <cfRule type="containsText" dxfId="2203" priority="20504" operator="containsText" text="ENTREGADO">
      <formula>NOT(ISERROR(SEARCH("ENTREGADO",AB29)))</formula>
    </cfRule>
    <cfRule type="containsText" dxfId="2202" priority="20501" operator="containsText" text="ENTREGADO">
      <formula>NOT(ISERROR(SEARCH("ENTREGADO",AB29)))</formula>
    </cfRule>
    <cfRule type="containsText" dxfId="2201" priority="20464" operator="containsText" text="ENTREGADO">
      <formula>NOT(ISERROR(SEARCH("ENTREGADO",AB29)))</formula>
    </cfRule>
    <cfRule type="containsText" dxfId="2200" priority="20503" operator="containsText" text="PENDIENTE">
      <formula>NOT(ISERROR(SEARCH("PENDIENTE",AB29)))</formula>
    </cfRule>
    <cfRule type="containsText" dxfId="2199" priority="20500" operator="containsText" text="ENTREGADO">
      <formula>NOT(ISERROR(SEARCH("ENTREGADO",#REF!)))</formula>
    </cfRule>
    <cfRule type="containsText" dxfId="2198" priority="20502" operator="containsText" text="PENDIENTE">
      <formula>NOT(ISERROR(SEARCH("PENDIENTE",#REF!)))</formula>
    </cfRule>
  </conditionalFormatting>
  <conditionalFormatting sqref="AB30:AC30 Y30:Z30">
    <cfRule type="containsText" dxfId="2197" priority="18939" operator="containsText" text="ENTREGADO">
      <formula>NOT(ISERROR(SEARCH("ENTREGADO",Y30)))</formula>
    </cfRule>
  </conditionalFormatting>
  <conditionalFormatting sqref="AB30:AC30">
    <cfRule type="containsText" dxfId="2196" priority="18925" operator="containsText" text="ENTREGADO">
      <formula>NOT(ISERROR(SEARCH("ENTREGADO",AB30)))</formula>
    </cfRule>
    <cfRule type="containsText" dxfId="2195" priority="18924" operator="containsText" text="ENTREGADO">
      <formula>NOT(ISERROR(SEARCH("ENTREGADO",#REF!)))</formula>
    </cfRule>
    <cfRule type="containsText" dxfId="2194" priority="18926" operator="containsText" text="PENDIENTE">
      <formula>NOT(ISERROR(SEARCH("PENDIENTE",#REF!)))</formula>
    </cfRule>
    <cfRule type="containsText" dxfId="2193" priority="18927" operator="containsText" text="PENDIENTE">
      <formula>NOT(ISERROR(SEARCH("PENDIENTE",AB30)))</formula>
    </cfRule>
  </conditionalFormatting>
  <conditionalFormatting sqref="AB32:AC32 Y32:Z32">
    <cfRule type="containsText" dxfId="2192" priority="19820" operator="containsText" text="ENTREGADO">
      <formula>NOT(ISERROR(SEARCH("ENTREGADO",Y32)))</formula>
    </cfRule>
  </conditionalFormatting>
  <conditionalFormatting sqref="AB32:AC32">
    <cfRule type="containsText" dxfId="2191" priority="19807" operator="containsText" text="PENDIENTE">
      <formula>NOT(ISERROR(SEARCH("PENDIENTE",#REF!)))</formula>
    </cfRule>
    <cfRule type="containsText" dxfId="2190" priority="19808" operator="containsText" text="PENDIENTE">
      <formula>NOT(ISERROR(SEARCH("PENDIENTE",AB32)))</formula>
    </cfRule>
    <cfRule type="containsText" dxfId="2189" priority="19805" operator="containsText" text="ENTREGADO">
      <formula>NOT(ISERROR(SEARCH("ENTREGADO",#REF!)))</formula>
    </cfRule>
    <cfRule type="containsText" dxfId="2188" priority="19806" operator="containsText" text="ENTREGADO">
      <formula>NOT(ISERROR(SEARCH("ENTREGADO",AB32)))</formula>
    </cfRule>
  </conditionalFormatting>
  <conditionalFormatting sqref="AB34:AC34 Y34:Z34">
    <cfRule type="containsText" dxfId="2187" priority="20163" operator="containsText" text="ENTREGADO">
      <formula>NOT(ISERROR(SEARCH("ENTREGADO",Y34)))</formula>
    </cfRule>
  </conditionalFormatting>
  <conditionalFormatting sqref="AB34:AC34">
    <cfRule type="containsText" dxfId="2186" priority="20149" operator="containsText" text="ENTREGADO">
      <formula>NOT(ISERROR(SEARCH("ENTREGADO",AB34)))</formula>
    </cfRule>
    <cfRule type="containsText" dxfId="2185" priority="20150" operator="containsText" text="PENDIENTE">
      <formula>NOT(ISERROR(SEARCH("PENDIENTE",#REF!)))</formula>
    </cfRule>
    <cfRule type="containsText" dxfId="2184" priority="20151" operator="containsText" text="PENDIENTE">
      <formula>NOT(ISERROR(SEARCH("PENDIENTE",AB34)))</formula>
    </cfRule>
    <cfRule type="containsText" dxfId="2183" priority="20148" operator="containsText" text="ENTREGADO">
      <formula>NOT(ISERROR(SEARCH("ENTREGADO",#REF!)))</formula>
    </cfRule>
    <cfRule type="containsText" dxfId="2182" priority="20152" operator="containsText" text="ENTREGADO">
      <formula>NOT(ISERROR(SEARCH("ENTREGADO",AB34)))</formula>
    </cfRule>
  </conditionalFormatting>
  <conditionalFormatting sqref="AB40:AC40 Y40:Z40">
    <cfRule type="containsText" dxfId="2181" priority="7197" operator="containsText" text="ENTREGADO">
      <formula>NOT(ISERROR(SEARCH("ENTREGADO",Y40)))</formula>
    </cfRule>
  </conditionalFormatting>
  <conditionalFormatting sqref="AB41:AC41 Y41:Z41">
    <cfRule type="containsText" dxfId="2180" priority="3620" operator="containsText" text="ENTREGADO">
      <formula>NOT(ISERROR(SEARCH("ENTREGADO",Y41)))</formula>
    </cfRule>
    <cfRule type="containsText" dxfId="2179" priority="3628" operator="containsText" text="ENTREGADO">
      <formula>NOT(ISERROR(SEARCH("ENTREGADO",#REF!)))</formula>
    </cfRule>
  </conditionalFormatting>
  <conditionalFormatting sqref="AB55:AC55 Y55:Z55">
    <cfRule type="containsText" dxfId="2178" priority="591" operator="containsText" text="PRIORIDAD">
      <formula>NOT(ISERROR(SEARCH("PRIORIDAD",Y55)))</formula>
    </cfRule>
    <cfRule type="containsText" dxfId="2177" priority="592" operator="containsText" text="ENTREGADO">
      <formula>NOT(ISERROR(SEARCH("ENTREGADO",Y55)))</formula>
    </cfRule>
    <cfRule type="containsText" dxfId="2176" priority="590" operator="containsText" text="PENDIENTE">
      <formula>NOT(ISERROR(SEARCH("PENDIENTE",Y55)))</formula>
    </cfRule>
    <cfRule type="containsText" dxfId="2175" priority="589" operator="containsText" text="PENDIENTE">
      <formula>NOT(ISERROR(SEARCH("PENDIENTE",#REF!)))</formula>
    </cfRule>
    <cfRule type="containsText" dxfId="2174" priority="588" operator="containsText" text="ENTREGADO">
      <formula>NOT(ISERROR(SEARCH("ENTREGADO",Y55)))</formula>
    </cfRule>
    <cfRule type="containsText" dxfId="2173" priority="575" operator="containsText" text="ENTREGADO">
      <formula>NOT(ISERROR(SEARCH("ENTREGADO",#REF!)))</formula>
    </cfRule>
    <cfRule type="containsText" dxfId="2172" priority="574" operator="containsText" text="ENTREGADO">
      <formula>NOT(ISERROR(SEARCH("ENTREGADO",Y55)))</formula>
    </cfRule>
  </conditionalFormatting>
  <conditionalFormatting sqref="AB77:AC77 Y77:Z77">
    <cfRule type="containsText" dxfId="2171" priority="1967" operator="containsText" text="ENTREGADO">
      <formula>NOT(ISERROR(SEARCH("ENTREGADO",#REF!)))</formula>
    </cfRule>
    <cfRule type="containsText" dxfId="2170" priority="1959" operator="containsText" text="ENTREGADO">
      <formula>NOT(ISERROR(SEARCH("ENTREGADO",Y77)))</formula>
    </cfRule>
  </conditionalFormatting>
  <conditionalFormatting sqref="AB78:AC78 Y78:Z78">
    <cfRule type="containsText" dxfId="2169" priority="1618" operator="containsText" text="ENTREGADO">
      <formula>NOT(ISERROR(SEARCH("ENTREGADO",Y78)))</formula>
    </cfRule>
    <cfRule type="containsText" dxfId="2168" priority="1605" operator="containsText" text="ENTREGADO">
      <formula>NOT(ISERROR(SEARCH("ENTREGADO",Y78)))</formula>
    </cfRule>
    <cfRule type="containsText" dxfId="2167" priority="1606" operator="containsText" text="ENTREGADO">
      <formula>NOT(ISERROR(SEARCH("ENTREGADO",#REF!)))</formula>
    </cfRule>
    <cfRule type="containsText" dxfId="2166" priority="1614" operator="containsText" text="ENTREGADO">
      <formula>NOT(ISERROR(SEARCH("ENTREGADO",Y78)))</formula>
    </cfRule>
    <cfRule type="containsText" dxfId="2165" priority="1615" operator="containsText" text="PENDIENTE">
      <formula>NOT(ISERROR(SEARCH("PENDIENTE",#REF!)))</formula>
    </cfRule>
    <cfRule type="containsText" dxfId="2164" priority="1616" operator="containsText" text="PENDIENTE">
      <formula>NOT(ISERROR(SEARCH("PENDIENTE",Y78)))</formula>
    </cfRule>
  </conditionalFormatting>
  <conditionalFormatting sqref="AB82:AC82 Y82:Z82">
    <cfRule type="containsText" dxfId="2163" priority="1345" operator="containsText" text="ENTREGADO">
      <formula>NOT(ISERROR(SEARCH("ENTREGADO",#REF!)))</formula>
    </cfRule>
    <cfRule type="containsText" dxfId="2162" priority="1343" operator="containsText" text="ENTREGADO">
      <formula>NOT(ISERROR(SEARCH("ENTREGADO",Y82)))</formula>
    </cfRule>
  </conditionalFormatting>
  <conditionalFormatting sqref="AB27:AD27">
    <cfRule type="containsText" dxfId="2161" priority="12254" operator="containsText" text="ENTREGADO">
      <formula>NOT(ISERROR(SEARCH("ENTREGADO",#REF!)))</formula>
    </cfRule>
    <cfRule type="containsText" dxfId="2160" priority="12253" operator="containsText" text="ENTREGADO">
      <formula>NOT(ISERROR(SEARCH("ENTREGADO",AB27)))</formula>
    </cfRule>
  </conditionalFormatting>
  <conditionalFormatting sqref="AB3:AL3 AN3:BC3 AD5:AL5 AN5:BC6 AR7:AW7 AN7:AO22 AR18:AW22 AD19:AG22 AI19:AL22 AD6:AG17 AR8:BC17 AD18:AL18 AI6:AL17">
    <cfRule type="containsText" dxfId="2159" priority="25721" operator="containsText" text="ENTREGADO">
      <formula>NOT(ISERROR(SEARCH("ENTREGADO",AB3)))</formula>
    </cfRule>
  </conditionalFormatting>
  <conditionalFormatting sqref="AB3:AL3 AN3:BC6 AD5:AL5 AD6:AG17 AR7:AW7 AN7:AO22 AR18:AW22 AD19:AG22 AI19:AL22 BD42:BG45 BD18:BG22 AR8:BC17 AD18:AL18 AI6:AL17">
    <cfRule type="containsText" dxfId="2158" priority="25722" operator="containsText" text="ENTREGADO">
      <formula>NOT(ISERROR(SEARCH("ENTREGADO",AB3)))</formula>
    </cfRule>
  </conditionalFormatting>
  <conditionalFormatting sqref="AB33:AL33 AN33:BC33">
    <cfRule type="containsText" dxfId="2157" priority="5966" operator="containsText" text="ENTREGADO">
      <formula>NOT(ISERROR(SEARCH("ENTREGADO",AB33)))</formula>
    </cfRule>
    <cfRule type="containsText" dxfId="2156" priority="5965" operator="containsText" text="ENTREGADO">
      <formula>NOT(ISERROR(SEARCH("ENTREGADO",AB33)))</formula>
    </cfRule>
    <cfRule type="containsText" dxfId="2155" priority="5963" operator="containsText" text="ENTREGADO">
      <formula>NOT(ISERROR(SEARCH("ENTREGADO",#REF!)))</formula>
    </cfRule>
  </conditionalFormatting>
  <conditionalFormatting sqref="AC4">
    <cfRule type="containsText" dxfId="2154" priority="18696" operator="containsText" text="PENDIENTE">
      <formula>NOT(ISERROR(SEARCH("PENDIENTE",#REF!)))</formula>
    </cfRule>
    <cfRule type="containsText" dxfId="2153" priority="18695" operator="containsText" text="ENTREGADO">
      <formula>NOT(ISERROR(SEARCH("ENTREGADO",AC4)))</formula>
    </cfRule>
    <cfRule type="containsText" dxfId="2152" priority="18697" operator="containsText" text="PENDIENTE">
      <formula>NOT(ISERROR(SEARCH("PENDIENTE",AC4)))</formula>
    </cfRule>
    <cfRule type="containsText" dxfId="2151" priority="18698" operator="containsText" text="ENTREGADO">
      <formula>NOT(ISERROR(SEARCH("ENTREGADO",AC4)))</formula>
    </cfRule>
  </conditionalFormatting>
  <conditionalFormatting sqref="AC27">
    <cfRule type="containsText" dxfId="2150" priority="12225" operator="containsText" text="PENDIENTE">
      <formula>NOT(ISERROR(SEARCH("PENDIENTE",#REF!)))</formula>
    </cfRule>
    <cfRule type="containsText" dxfId="2149" priority="12226" operator="containsText" text="PENDIENTE">
      <formula>NOT(ISERROR(SEARCH("PENDIENTE",AC27)))</formula>
    </cfRule>
    <cfRule type="containsText" dxfId="2148" priority="12227" operator="containsText" text="ENTREGADO">
      <formula>NOT(ISERROR(SEARCH("ENTREGADO",AC27)))</formula>
    </cfRule>
    <cfRule type="containsText" dxfId="2147" priority="12230" operator="containsText" text="PENDIENTE">
      <formula>NOT(ISERROR(SEARCH("PENDIENTE",#REF!)))</formula>
    </cfRule>
    <cfRule type="containsText" dxfId="2146" priority="12232" operator="containsText" text="ENTREGADO">
      <formula>NOT(ISERROR(SEARCH("ENTREGADO",AC27)))</formula>
    </cfRule>
    <cfRule type="containsText" dxfId="2145" priority="12224" operator="containsText" text="ENTREGADO">
      <formula>NOT(ISERROR(SEARCH("ENTREGADO",AC27)))</formula>
    </cfRule>
  </conditionalFormatting>
  <conditionalFormatting sqref="AC28">
    <cfRule type="containsText" dxfId="2144" priority="22839" operator="containsText" text="ENTREGADO">
      <formula>NOT(ISERROR(SEARCH("ENTREGADO",AC28)))</formula>
    </cfRule>
    <cfRule type="containsText" dxfId="2143" priority="22836" operator="containsText" text="ENTREGADO">
      <formula>NOT(ISERROR(SEARCH("ENTREGADO",AC28)))</formula>
    </cfRule>
    <cfRule type="containsText" dxfId="2142" priority="22837" operator="containsText" text="PENDIENTE">
      <formula>NOT(ISERROR(SEARCH("PENDIENTE",#REF!)))</formula>
    </cfRule>
    <cfRule type="containsText" dxfId="2141" priority="22838" operator="containsText" text="PENDIENTE">
      <formula>NOT(ISERROR(SEARCH("PENDIENTE",AC28)))</formula>
    </cfRule>
  </conditionalFormatting>
  <conditionalFormatting sqref="AC29">
    <cfRule type="containsText" dxfId="2140" priority="20496" operator="containsText" text="ENTREGADO">
      <formula>NOT(ISERROR(SEARCH("ENTREGADO",AC29)))</formula>
    </cfRule>
    <cfRule type="containsText" dxfId="2139" priority="20499" operator="containsText" text="ENTREGADO">
      <formula>NOT(ISERROR(SEARCH("ENTREGADO",AC29)))</formula>
    </cfRule>
    <cfRule type="containsText" dxfId="2138" priority="20498" operator="containsText" text="PENDIENTE">
      <formula>NOT(ISERROR(SEARCH("PENDIENTE",AC29)))</formula>
    </cfRule>
    <cfRule type="containsText" dxfId="2137" priority="20497" operator="containsText" text="PENDIENTE">
      <formula>NOT(ISERROR(SEARCH("PENDIENTE",#REF!)))</formula>
    </cfRule>
  </conditionalFormatting>
  <conditionalFormatting sqref="AC30">
    <cfRule type="containsText" dxfId="2136" priority="18921" operator="containsText" text="PENDIENTE">
      <formula>NOT(ISERROR(SEARCH("PENDIENTE",#REF!)))</formula>
    </cfRule>
    <cfRule type="containsText" dxfId="2135" priority="18928" operator="containsText" text="ENTREGADO">
      <formula>NOT(ISERROR(SEARCH("ENTREGADO",AC30)))</formula>
    </cfRule>
    <cfRule type="containsText" dxfId="2134" priority="18920" operator="containsText" text="ENTREGADO">
      <formula>NOT(ISERROR(SEARCH("ENTREGADO",AC30)))</formula>
    </cfRule>
    <cfRule type="containsText" dxfId="2133" priority="18923" operator="containsText" text="ENTREGADO">
      <formula>NOT(ISERROR(SEARCH("ENTREGADO",AC30)))</formula>
    </cfRule>
    <cfRule type="containsText" dxfId="2132" priority="18922" operator="containsText" text="PENDIENTE">
      <formula>NOT(ISERROR(SEARCH("PENDIENTE",AC30)))</formula>
    </cfRule>
  </conditionalFormatting>
  <conditionalFormatting sqref="AC32">
    <cfRule type="containsText" dxfId="2131" priority="19804" operator="containsText" text="ENTREGADO">
      <formula>NOT(ISERROR(SEARCH("ENTREGADO",AC32)))</formula>
    </cfRule>
    <cfRule type="containsText" dxfId="2130" priority="19809" operator="containsText" text="ENTREGADO">
      <formula>NOT(ISERROR(SEARCH("ENTREGADO",AC32)))</formula>
    </cfRule>
    <cfRule type="containsText" dxfId="2129" priority="19801" operator="containsText" text="ENTREGADO">
      <formula>NOT(ISERROR(SEARCH("ENTREGADO",AC32)))</formula>
    </cfRule>
    <cfRule type="containsText" dxfId="2128" priority="19802" operator="containsText" text="PENDIENTE">
      <formula>NOT(ISERROR(SEARCH("PENDIENTE",#REF!)))</formula>
    </cfRule>
    <cfRule type="containsText" dxfId="2127" priority="19803" operator="containsText" text="PENDIENTE">
      <formula>NOT(ISERROR(SEARCH("PENDIENTE",AC32)))</formula>
    </cfRule>
  </conditionalFormatting>
  <conditionalFormatting sqref="AC34">
    <cfRule type="containsText" dxfId="2126" priority="20147" operator="containsText" text="ENTREGADO">
      <formula>NOT(ISERROR(SEARCH("ENTREGADO",AC34)))</formula>
    </cfRule>
    <cfRule type="containsText" dxfId="2125" priority="20146" operator="containsText" text="PENDIENTE">
      <formula>NOT(ISERROR(SEARCH("PENDIENTE",AC34)))</formula>
    </cfRule>
    <cfRule type="containsText" dxfId="2124" priority="20145" operator="containsText" text="PENDIENTE">
      <formula>NOT(ISERROR(SEARCH("PENDIENTE",#REF!)))</formula>
    </cfRule>
    <cfRule type="containsText" dxfId="2123" priority="20144" operator="containsText" text="ENTREGADO">
      <formula>NOT(ISERROR(SEARCH("ENTREGADO",AC34)))</formula>
    </cfRule>
  </conditionalFormatting>
  <conditionalFormatting sqref="AC40">
    <cfRule type="containsText" dxfId="2122" priority="7186" operator="containsText" text="ENTREGADO">
      <formula>NOT(ISERROR(SEARCH("ENTREGADO",AC40)))</formula>
    </cfRule>
    <cfRule type="containsText" dxfId="2121" priority="7185" operator="containsText" text="PENDIENTE">
      <formula>NOT(ISERROR(SEARCH("PENDIENTE",AC40)))</formula>
    </cfRule>
    <cfRule type="containsText" dxfId="2120" priority="7177" operator="containsText" text="ENTREGADO">
      <formula>NOT(ISERROR(SEARCH("ENTREGADO",#REF!)))</formula>
    </cfRule>
    <cfRule type="containsText" dxfId="2119" priority="7183" operator="containsText" text="ENTREGADO">
      <formula>NOT(ISERROR(SEARCH("ENTREGADO",AC40)))</formula>
    </cfRule>
    <cfRule type="containsText" dxfId="2118" priority="7178" operator="containsText" text="ENTREGADO">
      <formula>NOT(ISERROR(SEARCH("ENTREGADO",AC40)))</formula>
    </cfRule>
    <cfRule type="containsText" dxfId="2117" priority="7179" operator="containsText" text="PENDIENTE">
      <formula>NOT(ISERROR(SEARCH("PENDIENTE",#REF!)))</formula>
    </cfRule>
    <cfRule type="containsText" dxfId="2116" priority="7180" operator="containsText" text="PENDIENTE">
      <formula>NOT(ISERROR(SEARCH("PENDIENTE",AC40)))</formula>
    </cfRule>
    <cfRule type="containsText" dxfId="2115" priority="7181" operator="containsText" text="ENTREGADO">
      <formula>NOT(ISERROR(SEARCH("ENTREGADO",AC40)))</formula>
    </cfRule>
    <cfRule type="containsText" dxfId="2114" priority="7184" operator="containsText" text="PENDIENTE">
      <formula>NOT(ISERROR(SEARCH("PENDIENTE",#REF!)))</formula>
    </cfRule>
    <cfRule type="containsText" dxfId="2113" priority="7182" operator="containsText" text="ENTREGADO">
      <formula>NOT(ISERROR(SEARCH("ENTREGADO",#REF!)))</formula>
    </cfRule>
  </conditionalFormatting>
  <conditionalFormatting sqref="AD4">
    <cfRule type="containsText" dxfId="2112" priority="18802" operator="containsText" text="ENTREGADO">
      <formula>NOT(ISERROR(SEARCH("ENTREGADO",AD4)))</formula>
    </cfRule>
    <cfRule type="containsText" dxfId="2111" priority="18804" operator="containsText" text="PENDIENTE">
      <formula>NOT(ISERROR(SEARCH("PENDIENTE",AD4)))</formula>
    </cfRule>
    <cfRule type="containsText" dxfId="2110" priority="18803" operator="containsText" text="PENDIENTE">
      <formula>NOT(ISERROR(SEARCH("PENDIENTE",#REF!)))</formula>
    </cfRule>
    <cfRule type="containsText" dxfId="2109" priority="18801" operator="containsText" text="ENTREGADO">
      <formula>NOT(ISERROR(SEARCH("ENTREGADO",#REF!)))</formula>
    </cfRule>
    <cfRule type="containsText" dxfId="2108" priority="18800" operator="containsText" text="ENTREGADO">
      <formula>NOT(ISERROR(SEARCH("ENTREGADO",AD4)))</formula>
    </cfRule>
  </conditionalFormatting>
  <conditionalFormatting sqref="AD27">
    <cfRule type="containsText" dxfId="2107" priority="12323" operator="containsText" text="PENDIENTE">
      <formula>NOT(ISERROR(SEARCH("PENDIENTE",#REF!)))</formula>
    </cfRule>
    <cfRule type="containsText" dxfId="2106" priority="12324" operator="containsText" text="PENDIENTE">
      <formula>NOT(ISERROR(SEARCH("PENDIENTE",AD27)))</formula>
    </cfRule>
    <cfRule type="containsText" dxfId="2105" priority="12322" operator="containsText" text="ENTREGADO">
      <formula>NOT(ISERROR(SEARCH("ENTREGADO",AD27)))</formula>
    </cfRule>
    <cfRule type="containsText" dxfId="2104" priority="12325" operator="containsText" text="ENTREGADO">
      <formula>NOT(ISERROR(SEARCH("ENTREGADO",AD27)))</formula>
    </cfRule>
  </conditionalFormatting>
  <conditionalFormatting sqref="AD28">
    <cfRule type="containsText" dxfId="2103" priority="22901" operator="containsText" text="PENDIENTE">
      <formula>NOT(ISERROR(SEARCH("PENDIENTE",AD28)))</formula>
    </cfRule>
    <cfRule type="containsText" dxfId="2102" priority="22902" operator="containsText" text="ENTREGADO">
      <formula>NOT(ISERROR(SEARCH("ENTREGADO",AD28)))</formula>
    </cfRule>
    <cfRule type="containsText" dxfId="2101" priority="22900" operator="containsText" text="PENDIENTE">
      <formula>NOT(ISERROR(SEARCH("PENDIENTE",#REF!)))</formula>
    </cfRule>
    <cfRule type="containsText" dxfId="2100" priority="22899" operator="containsText" text="ENTREGADO">
      <formula>NOT(ISERROR(SEARCH("ENTREGADO",AD28)))</formula>
    </cfRule>
  </conditionalFormatting>
  <conditionalFormatting sqref="AD29">
    <cfRule type="containsText" dxfId="2099" priority="20604" operator="containsText" text="PENDIENTE">
      <formula>NOT(ISERROR(SEARCH("PENDIENTE",#REF!)))</formula>
    </cfRule>
    <cfRule type="containsText" dxfId="2098" priority="20606" operator="containsText" text="ENTREGADO">
      <formula>NOT(ISERROR(SEARCH("ENTREGADO",AD29)))</formula>
    </cfRule>
    <cfRule type="containsText" dxfId="2097" priority="20605" operator="containsText" text="PENDIENTE">
      <formula>NOT(ISERROR(SEARCH("PENDIENTE",AD29)))</formula>
    </cfRule>
    <cfRule type="containsText" dxfId="2096" priority="20603" operator="containsText" text="ENTREGADO">
      <formula>NOT(ISERROR(SEARCH("ENTREGADO",AD29)))</formula>
    </cfRule>
  </conditionalFormatting>
  <conditionalFormatting sqref="AD30">
    <cfRule type="containsText" dxfId="2095" priority="19020" operator="containsText" text="PENDIENTE">
      <formula>NOT(ISERROR(SEARCH("PENDIENTE",AD30)))</formula>
    </cfRule>
    <cfRule type="containsText" dxfId="2094" priority="19019" operator="containsText" text="PENDIENTE">
      <formula>NOT(ISERROR(SEARCH("PENDIENTE",#REF!)))</formula>
    </cfRule>
    <cfRule type="containsText" dxfId="2093" priority="19021" operator="containsText" text="ENTREGADO">
      <formula>NOT(ISERROR(SEARCH("ENTREGADO",AD30)))</formula>
    </cfRule>
    <cfRule type="containsText" dxfId="2092" priority="19018" operator="containsText" text="ENTREGADO">
      <formula>NOT(ISERROR(SEARCH("ENTREGADO",AD30)))</formula>
    </cfRule>
  </conditionalFormatting>
  <conditionalFormatting sqref="AD32">
    <cfRule type="containsText" dxfId="2091" priority="19899" operator="containsText" text="ENTREGADO">
      <formula>NOT(ISERROR(SEARCH("ENTREGADO",AD32)))</formula>
    </cfRule>
    <cfRule type="containsText" dxfId="2090" priority="19900" operator="containsText" text="PENDIENTE">
      <formula>NOT(ISERROR(SEARCH("PENDIENTE",#REF!)))</formula>
    </cfRule>
    <cfRule type="containsText" dxfId="2089" priority="19901" operator="containsText" text="PENDIENTE">
      <formula>NOT(ISERROR(SEARCH("PENDIENTE",AD32)))</formula>
    </cfRule>
    <cfRule type="containsText" dxfId="2088" priority="19902" operator="containsText" text="ENTREGADO">
      <formula>NOT(ISERROR(SEARCH("ENTREGADO",AD32)))</formula>
    </cfRule>
  </conditionalFormatting>
  <conditionalFormatting sqref="AD34">
    <cfRule type="containsText" dxfId="2087" priority="20252" operator="containsText" text="PENDIENTE">
      <formula>NOT(ISERROR(SEARCH("PENDIENTE",#REF!)))</formula>
    </cfRule>
    <cfRule type="containsText" dxfId="2086" priority="20253" operator="containsText" text="PENDIENTE">
      <formula>NOT(ISERROR(SEARCH("PENDIENTE",AD34)))</formula>
    </cfRule>
    <cfRule type="containsText" dxfId="2085" priority="20254" operator="containsText" text="ENTREGADO">
      <formula>NOT(ISERROR(SEARCH("ENTREGADO",AD34)))</formula>
    </cfRule>
    <cfRule type="containsText" dxfId="2084" priority="20251" operator="containsText" text="ENTREGADO">
      <formula>NOT(ISERROR(SEARCH("ENTREGADO",AD34)))</formula>
    </cfRule>
  </conditionalFormatting>
  <conditionalFormatting sqref="AD39">
    <cfRule type="containsText" dxfId="2083" priority="4213" operator="containsText" text="ENTREGADO">
      <formula>NOT(ISERROR(SEARCH("ENTREGADO",AD39)))</formula>
    </cfRule>
    <cfRule type="containsText" dxfId="2082" priority="4214" operator="containsText" text="ENTREGADO">
      <formula>NOT(ISERROR(SEARCH("ENTREGADO",#REF!)))</formula>
    </cfRule>
    <cfRule type="containsText" dxfId="2081" priority="4239" operator="containsText" text="PENDIENTE">
      <formula>NOT(ISERROR(SEARCH("PENDIENTE",#REF!)))</formula>
    </cfRule>
    <cfRule type="containsText" dxfId="2080" priority="4238" operator="containsText" text="ENTREGADO">
      <formula>NOT(ISERROR(SEARCH("ENTREGADO",AD39)))</formula>
    </cfRule>
    <cfRule type="containsText" dxfId="2079" priority="4241" operator="containsText" text="ENTREGADO">
      <formula>NOT(ISERROR(SEARCH("ENTREGADO",AD39)))</formula>
    </cfRule>
    <cfRule type="containsText" dxfId="2078" priority="4240" operator="containsText" text="PENDIENTE">
      <formula>NOT(ISERROR(SEARCH("PENDIENTE",AD39)))</formula>
    </cfRule>
  </conditionalFormatting>
  <conditionalFormatting sqref="AD40">
    <cfRule type="containsText" dxfId="2077" priority="7258" operator="containsText" text="PENDIENTE">
      <formula>NOT(ISERROR(SEARCH("PENDIENTE",#REF!)))</formula>
    </cfRule>
    <cfRule type="containsText" dxfId="2076" priority="7260" operator="containsText" text="ENTREGADO">
      <formula>NOT(ISERROR(SEARCH("ENTREGADO",AD40)))</formula>
    </cfRule>
    <cfRule type="containsText" dxfId="2075" priority="7257" operator="containsText" text="ENTREGADO">
      <formula>NOT(ISERROR(SEARCH("ENTREGADO",AD40)))</formula>
    </cfRule>
    <cfRule type="containsText" dxfId="2074" priority="7259" operator="containsText" text="PENDIENTE">
      <formula>NOT(ISERROR(SEARCH("PENDIENTE",AD40)))</formula>
    </cfRule>
    <cfRule type="containsText" dxfId="2073" priority="7255" operator="containsText" text="ENTREGADO">
      <formula>NOT(ISERROR(SEARCH("ENTREGADO",AD40)))</formula>
    </cfRule>
    <cfRule type="containsText" dxfId="2072" priority="7256" operator="containsText" text="ENTREGADO">
      <formula>NOT(ISERROR(SEARCH("ENTREGADO",#REF!)))</formula>
    </cfRule>
  </conditionalFormatting>
  <conditionalFormatting sqref="AD41">
    <cfRule type="containsText" dxfId="2071" priority="3878" operator="containsText" text="ENTREGADO">
      <formula>NOT(ISERROR(SEARCH("ENTREGADO",AD41)))</formula>
    </cfRule>
    <cfRule type="containsText" dxfId="2070" priority="3875" operator="containsText" text="ENTREGADO">
      <formula>NOT(ISERROR(SEARCH("ENTREGADO",AD41)))</formula>
    </cfRule>
    <cfRule type="containsText" dxfId="2069" priority="3876" operator="containsText" text="PENDIENTE">
      <formula>NOT(ISERROR(SEARCH("PENDIENTE",#REF!)))</formula>
    </cfRule>
    <cfRule type="containsText" dxfId="2068" priority="3850" operator="containsText" text="ENTREGADO">
      <formula>NOT(ISERROR(SEARCH("ENTREGADO",#REF!)))</formula>
    </cfRule>
    <cfRule type="containsText" dxfId="2067" priority="3877" operator="containsText" text="PENDIENTE">
      <formula>NOT(ISERROR(SEARCH("PENDIENTE",AD41)))</formula>
    </cfRule>
    <cfRule type="containsText" dxfId="2066" priority="3854" operator="containsText" text="ENTREGADO">
      <formula>NOT(ISERROR(SEARCH("ENTREGADO",AD41)))</formula>
    </cfRule>
  </conditionalFormatting>
  <conditionalFormatting sqref="AD77">
    <cfRule type="containsText" dxfId="2065" priority="2104" operator="containsText" text="ENTREGADO">
      <formula>NOT(ISERROR(SEARCH("ENTREGADO",#REF!)))</formula>
    </cfRule>
    <cfRule type="containsText" dxfId="2064" priority="2105" operator="containsText" text="ENTREGADO">
      <formula>NOT(ISERROR(SEARCH("ENTREGADO",AD77)))</formula>
    </cfRule>
    <cfRule type="containsText" dxfId="2063" priority="2125" operator="containsText" text="ENTREGADO">
      <formula>NOT(ISERROR(SEARCH("ENTREGADO",AD77)))</formula>
    </cfRule>
    <cfRule type="containsText" dxfId="2062" priority="2126" operator="containsText" text="PENDIENTE">
      <formula>NOT(ISERROR(SEARCH("PENDIENTE",#REF!)))</formula>
    </cfRule>
    <cfRule type="containsText" dxfId="2061" priority="2127" operator="containsText" text="PENDIENTE">
      <formula>NOT(ISERROR(SEARCH("PENDIENTE",AD77)))</formula>
    </cfRule>
    <cfRule type="containsText" dxfId="2060" priority="2128" operator="containsText" text="ENTREGADO">
      <formula>NOT(ISERROR(SEARCH("ENTREGADO",AD77)))</formula>
    </cfRule>
  </conditionalFormatting>
  <conditionalFormatting sqref="AD80">
    <cfRule type="containsText" dxfId="2059" priority="1767" operator="containsText" text="ENTREGADO">
      <formula>NOT(ISERROR(SEARCH("ENTREGADO",AD80)))</formula>
    </cfRule>
    <cfRule type="containsText" dxfId="2058" priority="1768" operator="containsText" text="PENDIENTE">
      <formula>NOT(ISERROR(SEARCH("PENDIENTE",AD80)))</formula>
    </cfRule>
    <cfRule type="containsText" dxfId="2057" priority="1769" operator="containsText" text="ENTREGADO">
      <formula>NOT(ISERROR(SEARCH("ENTREGADO",AD80)))</formula>
    </cfRule>
    <cfRule type="containsText" dxfId="2056" priority="1762" operator="containsText" text="PENDIENTE">
      <formula>NOT(ISERROR(SEARCH("PENDIENTE",AD80)))</formula>
    </cfRule>
    <cfRule type="containsText" dxfId="2055" priority="294" operator="containsText" text="PENDIENTE">
      <formula>NOT(ISERROR(SEARCH("PENDIENTE",#REF!)))</formula>
    </cfRule>
    <cfRule type="containsText" dxfId="2054" priority="1765" operator="containsText" text="ENTREGADO">
      <formula>NOT(ISERROR(SEARCH("ENTREGADO",AD80)))</formula>
    </cfRule>
    <cfRule type="containsText" dxfId="2053" priority="1755" operator="containsText" text="PENDIENTE">
      <formula>NOT(ISERROR(SEARCH("PENDIENTE",#REF!)))</formula>
    </cfRule>
    <cfRule type="containsText" dxfId="2052" priority="1763" operator="containsText" text="PRIORIDAD">
      <formula>NOT(ISERROR(SEARCH("PRIORIDAD",AD80)))</formula>
    </cfRule>
    <cfRule type="containsText" dxfId="2051" priority="1764" operator="containsText" text="ENTREGADO">
      <formula>NOT(ISERROR(SEARCH("ENTREGADO",AD80)))</formula>
    </cfRule>
    <cfRule type="containsText" dxfId="2050" priority="1753" operator="containsText" text="ENTREGADO">
      <formula>NOT(ISERROR(SEARCH("ENTREGADO",AD80)))</formula>
    </cfRule>
    <cfRule type="containsText" dxfId="2049" priority="1760" operator="containsText" text="ENTREGADO">
      <formula>NOT(ISERROR(SEARCH("ENTREGADO",#REF!)))</formula>
    </cfRule>
    <cfRule type="containsText" dxfId="2048" priority="1752" operator="containsText" text="ENTREGADO">
      <formula>NOT(ISERROR(SEARCH("ENTREGADO",#REF!)))</formula>
    </cfRule>
    <cfRule type="containsText" dxfId="2047" priority="1761" operator="containsText" text="PENDIENTE">
      <formula>NOT(ISERROR(SEARCH("PENDIENTE",#REF!)))</formula>
    </cfRule>
    <cfRule type="containsText" dxfId="2046" priority="1754" operator="containsText" text="ENTREGADO">
      <formula>NOT(ISERROR(SEARCH("ENTREGADO",AD80)))</formula>
    </cfRule>
    <cfRule type="containsText" dxfId="2045" priority="291" operator="containsText" text="PENDIENTE">
      <formula>NOT(ISERROR(SEARCH("PENDIENTE",AD80)))</formula>
    </cfRule>
    <cfRule type="containsText" dxfId="2044" priority="1766" operator="containsText" text="PENDIENTE">
      <formula>NOT(ISERROR(SEARCH("PENDIENTE",AD80)))</formula>
    </cfRule>
    <cfRule type="containsText" dxfId="2043" priority="1759" operator="containsText" text="PENDIENTE">
      <formula>NOT(ISERROR(SEARCH("PENDIENTE",#REF!)))</formula>
    </cfRule>
    <cfRule type="containsText" dxfId="2042" priority="293" operator="containsText" text="ENTREGADO">
      <formula>NOT(ISERROR(SEARCH("ENTREGADO",AD80)))</formula>
    </cfRule>
    <cfRule type="containsText" dxfId="2041" priority="292" operator="containsText" text="ENTREGADO">
      <formula>NOT(ISERROR(SEARCH("ENTREGADO",AD80)))</formula>
    </cfRule>
    <cfRule type="containsText" dxfId="2040" priority="1756" operator="containsText" text="PENDIENTE">
      <formula>NOT(ISERROR(SEARCH("PENDIENTE",AD80)))</formula>
    </cfRule>
    <cfRule type="containsText" dxfId="2039" priority="1758" operator="containsText" text="ENTREGADO">
      <formula>NOT(ISERROR(SEARCH("ENTREGADO",#REF!)))</formula>
    </cfRule>
    <cfRule type="containsText" dxfId="2038" priority="1757" operator="containsText" text="ENTREGADO">
      <formula>NOT(ISERROR(SEARCH("ENTREGADO",AD80)))</formula>
    </cfRule>
    <cfRule type="containsText" dxfId="2037" priority="290" operator="containsText" text="ENTREGADO">
      <formula>NOT(ISERROR(SEARCH("ENTREGADO",#REF!)))</formula>
    </cfRule>
    <cfRule type="containsText" dxfId="2036" priority="289" operator="containsText" text="PRIORIDAD">
      <formula>NOT(ISERROR(SEARCH("PRIORIDAD",AD80)))</formula>
    </cfRule>
  </conditionalFormatting>
  <conditionalFormatting sqref="AD82 AN82:AO82 AI82:AL82 BH82:XFD82 BC82 AR82:BA82 AG82">
    <cfRule type="containsText" dxfId="2035" priority="1377" operator="containsText" text="ENTREGADO">
      <formula>NOT(ISERROR(SEARCH("ENTREGADO",AD82)))</formula>
    </cfRule>
  </conditionalFormatting>
  <conditionalFormatting sqref="AD85 AI85:AL85 AN85:AO85 T85 V85:X85 AR85:XFD85 A85 AG85">
    <cfRule type="containsText" dxfId="2034" priority="2692" operator="containsText" text="ENTREGADO">
      <formula>NOT(ISERROR(SEARCH("ENTREGADO",A85)))</formula>
    </cfRule>
  </conditionalFormatting>
  <conditionalFormatting sqref="AD86 AI86:AL86 AN86:AO86 T86 V86:X86 AR86:XFD86 A86 AG86">
    <cfRule type="containsText" dxfId="2033" priority="2537" operator="containsText" text="ENTREGADO">
      <formula>NOT(ISERROR(SEARCH("ENTREGADO",A86)))</formula>
    </cfRule>
  </conditionalFormatting>
  <conditionalFormatting sqref="AD87 AI87:AL87 AN87:AO87 T87 V87:X87 AR87:XFD87 A87 AG87">
    <cfRule type="containsText" dxfId="2032" priority="2408" operator="containsText" text="ENTREGADO">
      <formula>NOT(ISERROR(SEARCH("ENTREGADO",A87)))</formula>
    </cfRule>
  </conditionalFormatting>
  <conditionalFormatting sqref="AD88 AI88:AL88 AN88:AO88 T88 V88:X88 AR88:XFD88 A88 AG88">
    <cfRule type="containsText" dxfId="2031" priority="2279" operator="containsText" text="ENTREGADO">
      <formula>NOT(ISERROR(SEARCH("ENTREGADO",A88)))</formula>
    </cfRule>
  </conditionalFormatting>
  <conditionalFormatting sqref="AD89 AI89:AL89 AN89:AO89 T89 V89:X89 AR89:XFD89 A89 AG89">
    <cfRule type="containsText" dxfId="2030" priority="1898" operator="containsText" text="ENTREGADO">
      <formula>NOT(ISERROR(SEARCH("ENTREGADO",A89)))</formula>
    </cfRule>
  </conditionalFormatting>
  <conditionalFormatting sqref="AD90 AI90:AL90 AN90:AO90 T90 V90:X90 AR90:XFD90 A90 AG90">
    <cfRule type="containsText" dxfId="2029" priority="1223" operator="containsText" text="ENTREGADO">
      <formula>NOT(ISERROR(SEARCH("ENTREGADO",A90)))</formula>
    </cfRule>
  </conditionalFormatting>
  <conditionalFormatting sqref="AD91 AI91:AL91 AN91:AO91 T91 V91:X91 AR91:XFD91 A91 AG91">
    <cfRule type="containsText" dxfId="2028" priority="1043" operator="containsText" text="ENTREGADO">
      <formula>NOT(ISERROR(SEARCH("ENTREGADO",A91)))</formula>
    </cfRule>
  </conditionalFormatting>
  <conditionalFormatting sqref="AD92 AI92:AL92 AN92:AO92 T92 V92:X92 AR92:XFD92 A92 AG92">
    <cfRule type="containsText" dxfId="2027" priority="902" operator="containsText" text="ENTREGADO">
      <formula>NOT(ISERROR(SEARCH("ENTREGADO",A92)))</formula>
    </cfRule>
  </conditionalFormatting>
  <conditionalFormatting sqref="AD4:AF4">
    <cfRule type="containsText" dxfId="2026" priority="18805" operator="containsText" text="ENTREGADO">
      <formula>NOT(ISERROR(SEARCH("ENTREGADO",AD4)))</formula>
    </cfRule>
  </conditionalFormatting>
  <conditionalFormatting sqref="AD72:AF72 AI72:AL72 AN72:AO72 AR72:BA72">
    <cfRule type="containsText" dxfId="2025" priority="6773" operator="containsText" text="ENTREGADO">
      <formula>NOT(ISERROR(SEARCH("ENTREGADO",#REF!)))</formula>
    </cfRule>
    <cfRule type="containsText" dxfId="2024" priority="6774" operator="containsText" text="PENDIENTE">
      <formula>NOT(ISERROR(SEARCH("PENDIENTE",#REF!)))</formula>
    </cfRule>
  </conditionalFormatting>
  <conditionalFormatting sqref="AD72:AF73 AI72:AL73 AN72:AO73 K73:N73 AR73:BA73">
    <cfRule type="containsText" dxfId="2023" priority="6651" operator="containsText" text="ENTREGADO">
      <formula>NOT(ISERROR(SEARCH("ENTREGADO",K72)))</formula>
    </cfRule>
  </conditionalFormatting>
  <conditionalFormatting sqref="AD73:AF73 AI73:AL73 AN73:AO73 AR73:BA73">
    <cfRule type="containsText" dxfId="2022" priority="6647" operator="containsText" text="PENDIENTE">
      <formula>NOT(ISERROR(SEARCH("PENDIENTE",#REF!)))</formula>
    </cfRule>
    <cfRule type="containsText" dxfId="2021" priority="6646" operator="containsText" text="ENTREGADO">
      <formula>NOT(ISERROR(SEARCH("ENTREGADO",#REF!)))</formula>
    </cfRule>
  </conditionalFormatting>
  <conditionalFormatting sqref="AD74:AF74 AI74:AL74 AN74:AO74 AR74:BA74">
    <cfRule type="containsText" dxfId="2020" priority="6519" operator="containsText" text="PENDIENTE">
      <formula>NOT(ISERROR(SEARCH("PENDIENTE",#REF!)))</formula>
    </cfRule>
    <cfRule type="containsText" dxfId="2019" priority="6518" operator="containsText" text="ENTREGADO">
      <formula>NOT(ISERROR(SEARCH("ENTREGADO",#REF!)))</formula>
    </cfRule>
  </conditionalFormatting>
  <conditionalFormatting sqref="AD23:AG23 AI23:AL23 AN23:AO23 AR23:AW23">
    <cfRule type="containsText" dxfId="2018" priority="6919" operator="containsText" text="ENTREGADO">
      <formula>NOT(ISERROR(SEARCH("ENTREGADO",AD23)))</formula>
    </cfRule>
    <cfRule type="containsText" dxfId="2017" priority="6918" operator="containsText" text="PENDIENTE">
      <formula>NOT(ISERROR(SEARCH("PENDIENTE",#REF!)))</formula>
    </cfRule>
    <cfRule type="containsText" dxfId="2016" priority="6920" operator="containsText" text="ENTREGADO">
      <formula>NOT(ISERROR(SEARCH("ENTREGADO",AD23)))</formula>
    </cfRule>
    <cfRule type="containsText" dxfId="2015" priority="6917" operator="containsText" text="ENTREGADO">
      <formula>NOT(ISERROR(SEARCH("ENTREGADO",#REF!)))</formula>
    </cfRule>
  </conditionalFormatting>
  <conditionalFormatting sqref="AD25:AG25 AI25:AL25 AN25:AO25 AR25:BG25 T25">
    <cfRule type="containsText" dxfId="2014" priority="6370" operator="containsText" text="PENDIENTE">
      <formula>NOT(ISERROR(SEARCH("PENDIENTE",T25)))</formula>
    </cfRule>
  </conditionalFormatting>
  <conditionalFormatting sqref="AD25:AG25 BD25:BG25 AI25:AL25 AN25:AO25 AR25:AW25">
    <cfRule type="containsText" dxfId="2013" priority="6368" operator="containsText" text="ENTREGADO">
      <formula>NOT(ISERROR(SEARCH("ENTREGADO",#REF!)))</formula>
    </cfRule>
  </conditionalFormatting>
  <conditionalFormatting sqref="AD26:AG26 AI26:AL26 AN26:AO26 AR26:BG26 T26">
    <cfRule type="containsText" dxfId="2012" priority="6331" operator="containsText" text="PENDIENTE">
      <formula>NOT(ISERROR(SEARCH("PENDIENTE",T26)))</formula>
    </cfRule>
  </conditionalFormatting>
  <conditionalFormatting sqref="AD26:AG26 BD26:BG26 AI26:AL26 AN26:AO26 AR26:AW26">
    <cfRule type="containsText" dxfId="2011" priority="6329" operator="containsText" text="ENTREGADO">
      <formula>NOT(ISERROR(SEARCH("ENTREGADO",#REF!)))</formula>
    </cfRule>
  </conditionalFormatting>
  <conditionalFormatting sqref="AD27:AG30 BC28 BH28:XFD28 AD32:AG32 AD40:AG40 AI40:AL40 AI32:AL32 AI28:AO28 AI27:AL27 AN27:AO27 AI29:AL30 AN29:AO30 AN32:AO32 AN40:AO40 AR40:BA40 AR32:BA32 AR34:BA34 AN34:AO34 AI34:AL34 AD34:AG34 AR27:BA30">
    <cfRule type="containsText" dxfId="2010" priority="23197" operator="containsText" text="PENDIENTE">
      <formula>NOT(ISERROR(SEARCH("PENDIENTE",#REF!)))</formula>
    </cfRule>
    <cfRule type="containsText" dxfId="2009" priority="23190" operator="containsText" text="ENTREGADO">
      <formula>NOT(ISERROR(SEARCH("ENTREGADO",#REF!)))</formula>
    </cfRule>
  </conditionalFormatting>
  <conditionalFormatting sqref="AD38:AG38 AI38:AL38 AN38:AO38 AR38:BA38 AD42:AL44 AN42:AO44 AR42:BA44 AI27:AL27 AN27:AO27 AR27:BA27 AD27:AG30 AI28:AO28 AR28:AW28 AI29:AL30 AN29:AO30 AD32:AG32 AI32:AL32 AN32:AO32 AR32:BA32 AD34:AG34 AI34:AL34 AN34:AO34 AR34:BA34 Y3:AL3 AN3:BC3 AD5:AL5 AN5:BC6 AD6:AG17 AR7:AW7 AN7:AO22 AR18:AW22 AD19:AG22 AI19:AL22 AD71:AG71 AI71:AL71 AN71:AO71 AR71:BA71 BD34:BG38 V3:W3 AR29:BA30 AR8:BC17 AD18:AL18 AI6:AL17">
    <cfRule type="containsText" dxfId="2008" priority="23937" operator="containsText" text="PENDIENTE">
      <formula>NOT(ISERROR(SEARCH("PENDIENTE",#REF!)))</formula>
    </cfRule>
  </conditionalFormatting>
  <conditionalFormatting sqref="AD38:AG38 AI38:AL38 AN38:AO38 AR38:BA38 AD42:AL44 AN42:AO44 AR42:BA44 AR57:BC57 AD57:AG57 AI57:AL57 AN57:AO57 T57:X57">
    <cfRule type="containsText" dxfId="2007" priority="23910" operator="containsText" text="ENTREGADO">
      <formula>NOT(ISERROR(SEARCH("ENTREGADO",T38)))</formula>
    </cfRule>
  </conditionalFormatting>
  <conditionalFormatting sqref="AD38:AG38 AI38:AL38 AN38:AO38 AR38:BA38 AD42:AL44 AN42:AO44 AR42:BA44">
    <cfRule type="containsText" dxfId="2006" priority="23896" operator="containsText" text="PRIORIDAD">
      <formula>NOT(ISERROR(SEARCH("PRIORIDAD",AD38)))</formula>
    </cfRule>
    <cfRule type="containsText" dxfId="2005" priority="23897" operator="containsText" text="ENTREGADO">
      <formula>NOT(ISERROR(SEARCH("ENTREGADO",AD38)))</formula>
    </cfRule>
  </conditionalFormatting>
  <conditionalFormatting sqref="AD39:AG39 AI39:AL39 AN39:AO39 AR39:BA39">
    <cfRule type="containsText" dxfId="2004" priority="4291" operator="containsText" text="PRIORIDAD">
      <formula>NOT(ISERROR(SEARCH("PRIORIDAD",AD39)))</formula>
    </cfRule>
    <cfRule type="containsText" dxfId="2003" priority="4286" operator="containsText" text="PENDIENTE">
      <formula>NOT(ISERROR(SEARCH("PENDIENTE",#REF!)))</formula>
    </cfRule>
    <cfRule type="containsText" dxfId="2002" priority="4285" operator="containsText" text="ENTREGADO">
      <formula>NOT(ISERROR(SEARCH("ENTREGADO",#REF!)))</formula>
    </cfRule>
    <cfRule type="containsText" dxfId="2001" priority="4287" operator="containsText" text="ENTREGADO">
      <formula>NOT(ISERROR(SEARCH("ENTREGADO",#REF!)))</formula>
    </cfRule>
  </conditionalFormatting>
  <conditionalFormatting sqref="AD41:AG41 AI41:AL41 AN41:AO41 AR41:BA41 BD41:BG41">
    <cfRule type="containsText" dxfId="2000" priority="3916" operator="containsText" text="PENDIENTE">
      <formula>NOT(ISERROR(SEARCH("PENDIENTE",#REF!)))</formula>
    </cfRule>
  </conditionalFormatting>
  <conditionalFormatting sqref="AD41:AG41 AI41:AL41 AN41:AO41 AR41:BA41">
    <cfRule type="containsText" dxfId="1999" priority="3926" operator="containsText" text="ENTREGADO">
      <formula>NOT(ISERROR(SEARCH("ENTREGADO",AD41)))</formula>
    </cfRule>
    <cfRule type="containsText" dxfId="1998" priority="3924" operator="containsText" text="ENTREGADO">
      <formula>NOT(ISERROR(SEARCH("ENTREGADO",AD41)))</formula>
    </cfRule>
    <cfRule type="containsText" dxfId="1997" priority="3922" operator="containsText" text="ENTREGADO">
      <formula>NOT(ISERROR(SEARCH("ENTREGADO",AD41)))</formula>
    </cfRule>
    <cfRule type="containsText" dxfId="1996" priority="3923" operator="containsText" text="PENDIENTE">
      <formula>NOT(ISERROR(SEARCH("PENDIENTE",AD41)))</formula>
    </cfRule>
    <cfRule type="containsText" dxfId="1995" priority="3925" operator="containsText" text="PENDIENTE">
      <formula>NOT(ISERROR(SEARCH("PENDIENTE",AD41)))</formula>
    </cfRule>
  </conditionalFormatting>
  <conditionalFormatting sqref="AD41:AG41 AI41:AL41 AN41:AO41 AR41:BC41 C41:E41">
    <cfRule type="containsText" dxfId="1994" priority="3919" operator="containsText" text="PENDIENTE">
      <formula>NOT(ISERROR(SEARCH("PENDIENTE",C41)))</formula>
    </cfRule>
  </conditionalFormatting>
  <conditionalFormatting sqref="AD50:AG50">
    <cfRule type="containsText" dxfId="1993" priority="5743" operator="containsText" text="PRIORIDAD">
      <formula>NOT(ISERROR(SEARCH("PRIORIDAD",AD50)))</formula>
    </cfRule>
  </conditionalFormatting>
  <conditionalFormatting sqref="AD55:AG55 AI55:AL55 AN55:AO55 T55 V55:X55 AR55:XFD55">
    <cfRule type="containsText" dxfId="1992" priority="633" operator="containsText" text="ENTREGADO">
      <formula>NOT(ISERROR(SEARCH("ENTREGADO",T55)))</formula>
    </cfRule>
  </conditionalFormatting>
  <conditionalFormatting sqref="AD57:AG58 AI57:AL58 AN57:AO58 T58 V58:X58 AR58:XFD58 A58 A62">
    <cfRule type="containsText" dxfId="1991" priority="9081" operator="containsText" text="ENTREGADO">
      <formula>NOT(ISERROR(SEARCH("ENTREGADO",A57)))</formula>
    </cfRule>
  </conditionalFormatting>
  <conditionalFormatting sqref="AD59:AG59 AI59:AL59 AN59:AO59 T59 V59:X59 AR59:XFD59 A59">
    <cfRule type="containsText" dxfId="1990" priority="3535" operator="containsText" text="ENTREGADO">
      <formula>NOT(ISERROR(SEARCH("ENTREGADO",A59)))</formula>
    </cfRule>
  </conditionalFormatting>
  <conditionalFormatting sqref="AD59:AG70">
    <cfRule type="containsText" dxfId="1989" priority="3428" operator="containsText" text="PRIORIDAD">
      <formula>NOT(ISERROR(SEARCH("PRIORIDAD",AD59)))</formula>
    </cfRule>
  </conditionalFormatting>
  <conditionalFormatting sqref="AD60:AG60 AI60:AL60 AN60:AO60 T60 V60:X60 AR60:XFD60 A60">
    <cfRule type="containsText" dxfId="1988" priority="4702" operator="containsText" text="ENTREGADO">
      <formula>NOT(ISERROR(SEARCH("ENTREGADO",A60)))</formula>
    </cfRule>
  </conditionalFormatting>
  <conditionalFormatting sqref="AD61:AG61 AI61:AL61 AN61:AO61 T61 V61:X61 AR61:XFD61 A61">
    <cfRule type="containsText" dxfId="1987" priority="4563" operator="containsText" text="ENTREGADO">
      <formula>NOT(ISERROR(SEARCH("ENTREGADO",A61)))</formula>
    </cfRule>
  </conditionalFormatting>
  <conditionalFormatting sqref="AD71:AG75">
    <cfRule type="containsText" dxfId="1986" priority="6008" operator="containsText" text="PRIORIDAD">
      <formula>NOT(ISERROR(SEARCH("PRIORIDAD",AD71)))</formula>
    </cfRule>
  </conditionalFormatting>
  <conditionalFormatting sqref="AD75:AG75 AI75:AL75 AN75:AO75 T75 V75:X75 AR75:XFD75 A75">
    <cfRule type="containsText" dxfId="1985" priority="4841" operator="containsText" text="ENTREGADO">
      <formula>NOT(ISERROR(SEARCH("ENTREGADO",A75)))</formula>
    </cfRule>
  </conditionalFormatting>
  <conditionalFormatting sqref="AD76:AG76 AI76:AL76 AN76:AO76 T76 V76:X76 AR76:XFD76 A76 A80:A81 AR80:XFD81 V80:X81 T80:T81 AN80:AO81 AI80:AL81 AD81 AD83:AD84 AI83:AL84 AN83:AO84 T83:T84 V83:X84 AR83:XFD84 AG83:AG84 AG80:AG81 A83:A84">
    <cfRule type="containsText" dxfId="1984" priority="2950" operator="containsText" text="ENTREGADO">
      <formula>NOT(ISERROR(SEARCH("ENTREGADO",A76)))</formula>
    </cfRule>
  </conditionalFormatting>
  <conditionalFormatting sqref="AD77:AG77 AI77:AL77 AN77:AO77 AR77:BA77 C77:E77">
    <cfRule type="containsText" dxfId="1983" priority="2171" operator="containsText" text="ENTREGADO">
      <formula>NOT(ISERROR(SEARCH("ENTREGADO",C77)))</formula>
    </cfRule>
  </conditionalFormatting>
  <conditionalFormatting sqref="AD77:AG77 AI77:AL77 AN77:AO77 AR77:BA77 BD77:BG77">
    <cfRule type="containsText" dxfId="1982" priority="2166" operator="containsText" text="PENDIENTE">
      <formula>NOT(ISERROR(SEARCH("PENDIENTE",#REF!)))</formula>
    </cfRule>
  </conditionalFormatting>
  <conditionalFormatting sqref="AD77:AG77 AI77:AL77 AN77:AO77 AR77:BA77">
    <cfRule type="containsText" dxfId="1981" priority="2172" operator="containsText" text="ENTREGADO">
      <formula>NOT(ISERROR(SEARCH("ENTREGADO",AD77)))</formula>
    </cfRule>
    <cfRule type="containsText" dxfId="1980" priority="2173" operator="containsText" text="PENDIENTE">
      <formula>NOT(ISERROR(SEARCH("PENDIENTE",AD77)))</formula>
    </cfRule>
    <cfRule type="containsText" dxfId="1979" priority="2174" operator="containsText" text="ENTREGADO">
      <formula>NOT(ISERROR(SEARCH("ENTREGADO",AD77)))</formula>
    </cfRule>
    <cfRule type="containsText" dxfId="1978" priority="2176" operator="containsText" text="ENTREGADO">
      <formula>NOT(ISERROR(SEARCH("ENTREGADO",AD77)))</formula>
    </cfRule>
    <cfRule type="containsText" dxfId="1977" priority="2175" operator="containsText" text="PENDIENTE">
      <formula>NOT(ISERROR(SEARCH("PENDIENTE",AD77)))</formula>
    </cfRule>
  </conditionalFormatting>
  <conditionalFormatting sqref="AD77:AG77 AI77:AL77 AN77:AO77 AR77:BC77 C77:E77">
    <cfRule type="containsText" dxfId="1976" priority="2169" operator="containsText" text="PENDIENTE">
      <formula>NOT(ISERROR(SEARCH("PENDIENTE",C77)))</formula>
    </cfRule>
  </conditionalFormatting>
  <conditionalFormatting sqref="AD78:AG78 AI78:AL78 AN78:AO78 T78 V78:X78 AR78:XFD78 A78">
    <cfRule type="containsText" dxfId="1975" priority="1651" operator="containsText" text="ENTREGADO">
      <formula>NOT(ISERROR(SEARCH("ENTREGADO",A78)))</formula>
    </cfRule>
  </conditionalFormatting>
  <conditionalFormatting sqref="AD79:AG79">
    <cfRule type="containsText" dxfId="1974" priority="1446" operator="containsText" text="PRIORIDAD">
      <formula>NOT(ISERROR(SEARCH("PRIORIDAD",AD79)))</formula>
    </cfRule>
  </conditionalFormatting>
  <conditionalFormatting sqref="AE80">
    <cfRule type="containsText" dxfId="1973" priority="288" operator="containsText" text="PENDIENTE">
      <formula>NOT(ISERROR(SEARCH("PENDIENTE",#REF!)))</formula>
    </cfRule>
    <cfRule type="containsText" dxfId="1972" priority="284" operator="containsText" text="ENTREGADO">
      <formula>NOT(ISERROR(SEARCH("ENTREGADO",#REF!)))</formula>
    </cfRule>
    <cfRule type="containsText" dxfId="1971" priority="283" operator="containsText" text="PRIORIDAD">
      <formula>NOT(ISERROR(SEARCH("PRIORIDAD",AE80)))</formula>
    </cfRule>
    <cfRule type="containsText" dxfId="1970" priority="286" operator="containsText" text="ENTREGADO">
      <formula>NOT(ISERROR(SEARCH("ENTREGADO",AE80)))</formula>
    </cfRule>
    <cfRule type="containsText" dxfId="1969" priority="287" operator="containsText" text="ENTREGADO">
      <formula>NOT(ISERROR(SEARCH("ENTREGADO",AE80)))</formula>
    </cfRule>
    <cfRule type="containsText" dxfId="1968" priority="285" operator="containsText" text="PENDIENTE">
      <formula>NOT(ISERROR(SEARCH("PENDIENTE",AE80)))</formula>
    </cfRule>
  </conditionalFormatting>
  <conditionalFormatting sqref="AE80:AF89">
    <cfRule type="containsText" dxfId="1967" priority="1279" operator="containsText" text="ENTREGADO">
      <formula>NOT(ISERROR(SEARCH("ENTREGADO",#REF!)))</formula>
    </cfRule>
    <cfRule type="containsText" dxfId="1966" priority="1280" operator="containsText" text="PENDIENTE">
      <formula>NOT(ISERROR(SEARCH("PENDIENTE",AE80)))</formula>
    </cfRule>
    <cfRule type="containsText" dxfId="1965" priority="1282" operator="containsText" text="ENTREGADO">
      <formula>NOT(ISERROR(SEARCH("ENTREGADO",AE80)))</formula>
    </cfRule>
    <cfRule type="containsText" dxfId="1964" priority="1283" operator="containsText" text="PENDIENTE">
      <formula>NOT(ISERROR(SEARCH("PENDIENTE",#REF!)))</formula>
    </cfRule>
    <cfRule type="containsText" dxfId="1963" priority="1281" operator="containsText" text="ENTREGADO">
      <formula>NOT(ISERROR(SEARCH("ENTREGADO",AE80)))</formula>
    </cfRule>
  </conditionalFormatting>
  <conditionalFormatting sqref="AE80:AF92">
    <cfRule type="containsText" dxfId="1962" priority="823" operator="containsText" text="PRIORIDAD">
      <formula>NOT(ISERROR(SEARCH("PRIORIDAD",AE80)))</formula>
    </cfRule>
  </conditionalFormatting>
  <conditionalFormatting sqref="AE90:AF90">
    <cfRule type="containsText" dxfId="1961" priority="1139" operator="containsText" text="PENDIENTE">
      <formula>NOT(ISERROR(SEARCH("PENDIENTE",#REF!)))</formula>
    </cfRule>
    <cfRule type="containsText" dxfId="1960" priority="1138" operator="containsText" text="ENTREGADO">
      <formula>NOT(ISERROR(SEARCH("ENTREGADO",AE90)))</formula>
    </cfRule>
    <cfRule type="containsText" dxfId="1959" priority="1137" operator="containsText" text="ENTREGADO">
      <formula>NOT(ISERROR(SEARCH("ENTREGADO",AE90)))</formula>
    </cfRule>
    <cfRule type="containsText" dxfId="1958" priority="1136" operator="containsText" text="PENDIENTE">
      <formula>NOT(ISERROR(SEARCH("PENDIENTE",AE90)))</formula>
    </cfRule>
    <cfRule type="containsText" dxfId="1957" priority="1135" operator="containsText" text="ENTREGADO">
      <formula>NOT(ISERROR(SEARCH("ENTREGADO",#REF!)))</formula>
    </cfRule>
  </conditionalFormatting>
  <conditionalFormatting sqref="AE91:AF91">
    <cfRule type="containsText" dxfId="1956" priority="966" operator="containsText" text="PENDIENTE">
      <formula>NOT(ISERROR(SEARCH("PENDIENTE",AE91)))</formula>
    </cfRule>
    <cfRule type="containsText" dxfId="1955" priority="965" operator="containsText" text="ENTREGADO">
      <formula>NOT(ISERROR(SEARCH("ENTREGADO",#REF!)))</formula>
    </cfRule>
    <cfRule type="containsText" dxfId="1954" priority="969" operator="containsText" text="PENDIENTE">
      <formula>NOT(ISERROR(SEARCH("PENDIENTE",#REF!)))</formula>
    </cfRule>
    <cfRule type="containsText" dxfId="1953" priority="968" operator="containsText" text="ENTREGADO">
      <formula>NOT(ISERROR(SEARCH("ENTREGADO",AE91)))</formula>
    </cfRule>
    <cfRule type="containsText" dxfId="1952" priority="967" operator="containsText" text="ENTREGADO">
      <formula>NOT(ISERROR(SEARCH("ENTREGADO",AE91)))</formula>
    </cfRule>
  </conditionalFormatting>
  <conditionalFormatting sqref="AE92:AF92">
    <cfRule type="containsText" dxfId="1951" priority="828" operator="containsText" text="PENDIENTE">
      <formula>NOT(ISERROR(SEARCH("PENDIENTE",#REF!)))</formula>
    </cfRule>
    <cfRule type="containsText" dxfId="1950" priority="827" operator="containsText" text="ENTREGADO">
      <formula>NOT(ISERROR(SEARCH("ENTREGADO",AE92)))</formula>
    </cfRule>
    <cfRule type="containsText" dxfId="1949" priority="826" operator="containsText" text="ENTREGADO">
      <formula>NOT(ISERROR(SEARCH("ENTREGADO",AE92)))</formula>
    </cfRule>
    <cfRule type="containsText" dxfId="1948" priority="824" operator="containsText" text="ENTREGADO">
      <formula>NOT(ISERROR(SEARCH("ENTREGADO",#REF!)))</formula>
    </cfRule>
    <cfRule type="containsText" dxfId="1947" priority="825" operator="containsText" text="PENDIENTE">
      <formula>NOT(ISERROR(SEARCH("PENDIENTE",AE92)))</formula>
    </cfRule>
  </conditionalFormatting>
  <conditionalFormatting sqref="AG4 AM51:AM54 AM56:AM58">
    <cfRule type="containsText" dxfId="1946" priority="6082" operator="containsText" text="PRIORIDAD">
      <formula>NOT(ISERROR(SEARCH("PRIORIDAD",AG4)))</formula>
    </cfRule>
  </conditionalFormatting>
  <conditionalFormatting sqref="AG4 AM56:AM58 AM51:AM54">
    <cfRule type="containsText" dxfId="1945" priority="6081" operator="containsText" text="PENDIENTE">
      <formula>NOT(ISERROR(SEARCH("PENDIENTE",AG4)))</formula>
    </cfRule>
    <cfRule type="containsText" dxfId="1944" priority="6083" operator="containsText" text="ENTREGADO">
      <formula>NOT(ISERROR(SEARCH("ENTREGADO",AG4)))</formula>
    </cfRule>
    <cfRule type="containsText" dxfId="1943" priority="6078" operator="containsText" text="PENDIENTE">
      <formula>NOT(ISERROR(SEARCH("PENDIENTE",#REF!)))</formula>
    </cfRule>
    <cfRule type="containsText" dxfId="1942" priority="6080" operator="containsText" text="ENTREGADO">
      <formula>NOT(ISERROR(SEARCH("ENTREGADO",AG4)))</formula>
    </cfRule>
    <cfRule type="containsText" dxfId="1941" priority="6079" operator="containsText" text="ENTREGADO">
      <formula>NOT(ISERROR(SEARCH("ENTREGADO",AG4)))</formula>
    </cfRule>
    <cfRule type="containsText" dxfId="1940" priority="6077" operator="containsText" text="ENTREGADO">
      <formula>NOT(ISERROR(SEARCH("ENTREGADO",#REF!)))</formula>
    </cfRule>
  </conditionalFormatting>
  <conditionalFormatting sqref="AG71">
    <cfRule type="containsText" dxfId="1939" priority="6007" operator="containsText" text="PENDIENTE">
      <formula>NOT(ISERROR(SEARCH("PENDIENTE",#REF!)))</formula>
    </cfRule>
    <cfRule type="containsText" dxfId="1938" priority="6005" operator="containsText" text="ENTREGADO">
      <formula>NOT(ISERROR(SEARCH("ENTREGADO",#REF!)))</formula>
    </cfRule>
    <cfRule type="containsText" dxfId="1937" priority="6006" operator="containsText" text="PENDIENTE">
      <formula>NOT(ISERROR(SEARCH("PENDIENTE",AG71)))</formula>
    </cfRule>
  </conditionalFormatting>
  <conditionalFormatting sqref="AG72">
    <cfRule type="containsText" dxfId="1936" priority="6011" operator="containsText" text="ENTREGADO">
      <formula>NOT(ISERROR(SEARCH("ENTREGADO",AG72)))</formula>
    </cfRule>
    <cfRule type="containsText" dxfId="1935" priority="6010" operator="containsText" text="PENDIENTE">
      <formula>NOT(ISERROR(SEARCH("PENDIENTE",AG72)))</formula>
    </cfRule>
    <cfRule type="containsText" dxfId="1934" priority="6012" operator="containsText" text="ENTREGADO">
      <formula>NOT(ISERROR(SEARCH("ENTREGADO",AG72)))</formula>
    </cfRule>
    <cfRule type="containsText" dxfId="1933" priority="6009" operator="containsText" text="ENTREGADO">
      <formula>NOT(ISERROR(SEARCH("ENTREGADO",#REF!)))</formula>
    </cfRule>
    <cfRule type="containsText" dxfId="1932" priority="6013" operator="containsText" text="PENDIENTE">
      <formula>NOT(ISERROR(SEARCH("PENDIENTE",#REF!)))</formula>
    </cfRule>
  </conditionalFormatting>
  <conditionalFormatting sqref="AG73">
    <cfRule type="containsText" dxfId="1931" priority="6025" operator="containsText" text="PENDIENTE">
      <formula>NOT(ISERROR(SEARCH("PENDIENTE",#REF!)))</formula>
    </cfRule>
    <cfRule type="containsText" dxfId="1930" priority="6023" operator="containsText" text="ENTREGADO">
      <formula>NOT(ISERROR(SEARCH("ENTREGADO",AG73)))</formula>
    </cfRule>
    <cfRule type="containsText" dxfId="1929" priority="6022" operator="containsText" text="PENDIENTE">
      <formula>NOT(ISERROR(SEARCH("PENDIENTE",AG73)))</formula>
    </cfRule>
    <cfRule type="containsText" dxfId="1928" priority="6021" operator="containsText" text="ENTREGADO">
      <formula>NOT(ISERROR(SEARCH("ENTREGADO",#REF!)))</formula>
    </cfRule>
    <cfRule type="containsText" dxfId="1927" priority="6024" operator="containsText" text="ENTREGADO">
      <formula>NOT(ISERROR(SEARCH("ENTREGADO",AG73)))</formula>
    </cfRule>
  </conditionalFormatting>
  <conditionalFormatting sqref="AG74">
    <cfRule type="containsText" dxfId="1926" priority="6015" operator="containsText" text="ENTREGADO">
      <formula>NOT(ISERROR(SEARCH("ENTREGADO",#REF!)))</formula>
    </cfRule>
    <cfRule type="containsText" dxfId="1925" priority="6016" operator="containsText" text="PENDIENTE">
      <formula>NOT(ISERROR(SEARCH("PENDIENTE",AG74)))</formula>
    </cfRule>
    <cfRule type="containsText" dxfId="1924" priority="6017" operator="containsText" text="ENTREGADO">
      <formula>NOT(ISERROR(SEARCH("ENTREGADO",AG74)))</formula>
    </cfRule>
    <cfRule type="containsText" dxfId="1923" priority="6018" operator="containsText" text="ENTREGADO">
      <formula>NOT(ISERROR(SEARCH("ENTREGADO",AG74)))</formula>
    </cfRule>
    <cfRule type="containsText" dxfId="1922" priority="6019" operator="containsText" text="PENDIENTE">
      <formula>NOT(ISERROR(SEARCH("PENDIENTE",#REF!)))</formula>
    </cfRule>
  </conditionalFormatting>
  <conditionalFormatting sqref="AH6:AH17">
    <cfRule type="containsText" dxfId="1921" priority="6063" operator="containsText" text="ENTREGADO">
      <formula>NOT(ISERROR(SEARCH("ENTREGADO",#REF!)))</formula>
    </cfRule>
    <cfRule type="containsText" dxfId="1920" priority="6055" operator="containsText" text="ENTREGADO">
      <formula>NOT(ISERROR(SEARCH("ENTREGADO",AH6)))</formula>
    </cfRule>
    <cfRule type="containsText" dxfId="1919" priority="6059" operator="containsText" text="ENTREGADO">
      <formula>NOT(ISERROR(SEARCH("ENTREGADO",AH6)))</formula>
    </cfRule>
    <cfRule type="containsText" dxfId="1918" priority="6052" operator="containsText" text="ENTREGADO">
      <formula>NOT(ISERROR(SEARCH("ENTREGADO",AH6)))</formula>
    </cfRule>
    <cfRule type="containsText" dxfId="1917" priority="6061" operator="containsText" text="PENDIENTE">
      <formula>NOT(ISERROR(SEARCH("PENDIENTE",AH6)))</formula>
    </cfRule>
    <cfRule type="containsText" dxfId="1916" priority="6062" operator="containsText" text="ENTREGADO">
      <formula>NOT(ISERROR(SEARCH("ENTREGADO",AH6)))</formula>
    </cfRule>
    <cfRule type="containsText" dxfId="1915" priority="6057" operator="containsText" text="ENTREGADO">
      <formula>NOT(ISERROR(SEARCH("ENTREGADO",AH6)))</formula>
    </cfRule>
    <cfRule type="containsText" dxfId="1914" priority="6060" operator="containsText" text="PENDIENTE">
      <formula>NOT(ISERROR(SEARCH("PENDIENTE",#REF!)))</formula>
    </cfRule>
    <cfRule type="containsText" dxfId="1913" priority="6054" operator="containsText" text="PENDIENTE">
      <formula>NOT(ISERROR(SEARCH("PENDIENTE",#REF!)))</formula>
    </cfRule>
    <cfRule type="containsText" dxfId="1912" priority="6053" operator="containsText" text="PENDIENTE">
      <formula>NOT(ISERROR(SEARCH("PENDIENTE",AH6)))</formula>
    </cfRule>
    <cfRule type="containsText" dxfId="1911" priority="6064" operator="containsText" text="PENDIENTE">
      <formula>NOT(ISERROR(SEARCH("PENDIENTE",AH6)))</formula>
    </cfRule>
    <cfRule type="containsText" dxfId="1910" priority="6058" operator="containsText" text="ENTREGADO">
      <formula>NOT(ISERROR(SEARCH("ENTREGADO",#REF!)))</formula>
    </cfRule>
    <cfRule type="containsText" dxfId="1909" priority="6056" operator="containsText" text="PRIORIDAD">
      <formula>NOT(ISERROR(SEARCH("PRIORIDAD",AH6)))</formula>
    </cfRule>
  </conditionalFormatting>
  <conditionalFormatting sqref="AH19:AH32 AH34:AH38 AH40">
    <cfRule type="containsText" dxfId="1908" priority="6048" operator="containsText" text="PENDIENTE">
      <formula>NOT(ISERROR(SEARCH("PENDIENTE",AH19)))</formula>
    </cfRule>
    <cfRule type="containsText" dxfId="1907" priority="6040" operator="containsText" text="PENDIENTE">
      <formula>NOT(ISERROR(SEARCH("PENDIENTE",AH19)))</formula>
    </cfRule>
    <cfRule type="containsText" dxfId="1906" priority="6049" operator="containsText" text="ENTREGADO">
      <formula>NOT(ISERROR(SEARCH("ENTREGADO",AH19)))</formula>
    </cfRule>
    <cfRule type="containsText" dxfId="1905" priority="6050" operator="containsText" text="ENTREGADO">
      <formula>NOT(ISERROR(SEARCH("ENTREGADO",#REF!)))</formula>
    </cfRule>
    <cfRule type="containsText" dxfId="1904" priority="6051" operator="containsText" text="PENDIENTE">
      <formula>NOT(ISERROR(SEARCH("PENDIENTE",AH19)))</formula>
    </cfRule>
    <cfRule type="containsText" dxfId="1903" priority="6043" operator="containsText" text="PRIORIDAD">
      <formula>NOT(ISERROR(SEARCH("PRIORIDAD",AH19)))</formula>
    </cfRule>
    <cfRule type="containsText" dxfId="1902" priority="6046" operator="containsText" text="ENTREGADO">
      <formula>NOT(ISERROR(SEARCH("ENTREGADO",AH19)))</formula>
    </cfRule>
    <cfRule type="containsText" dxfId="1901" priority="6045" operator="containsText" text="ENTREGADO">
      <formula>NOT(ISERROR(SEARCH("ENTREGADO",#REF!)))</formula>
    </cfRule>
    <cfRule type="containsText" dxfId="1900" priority="6047" operator="containsText" text="PENDIENTE">
      <formula>NOT(ISERROR(SEARCH("PENDIENTE",#REF!)))</formula>
    </cfRule>
    <cfRule type="containsText" dxfId="1899" priority="6042" operator="containsText" text="ENTREGADO">
      <formula>NOT(ISERROR(SEARCH("ENTREGADO",AH19)))</formula>
    </cfRule>
    <cfRule type="containsText" dxfId="1898" priority="6041" operator="containsText" text="PENDIENTE">
      <formula>NOT(ISERROR(SEARCH("PENDIENTE",#REF!)))</formula>
    </cfRule>
    <cfRule type="containsText" dxfId="1897" priority="6044" operator="containsText" text="ENTREGADO">
      <formula>NOT(ISERROR(SEARCH("ENTREGADO",AH19)))</formula>
    </cfRule>
    <cfRule type="containsText" dxfId="1896" priority="6039" operator="containsText" text="ENTREGADO">
      <formula>NOT(ISERROR(SEARCH("ENTREGADO",AH19)))</formula>
    </cfRule>
  </conditionalFormatting>
  <conditionalFormatting sqref="AH39">
    <cfRule type="containsText" dxfId="1895" priority="4019" operator="containsText" text="PRIORIDAD">
      <formula>NOT(ISERROR(SEARCH("PRIORIDAD",AH39)))</formula>
    </cfRule>
    <cfRule type="containsText" dxfId="1894" priority="4017" operator="containsText" text="PENDIENTE">
      <formula>NOT(ISERROR(SEARCH("PENDIENTE",#REF!)))</formula>
    </cfRule>
    <cfRule type="containsText" dxfId="1893" priority="4015" operator="containsText" text="ENTREGADO">
      <formula>NOT(ISERROR(SEARCH("ENTREGADO",AH39)))</formula>
    </cfRule>
    <cfRule type="containsText" dxfId="1892" priority="4018" operator="containsText" text="ENTREGADO">
      <formula>NOT(ISERROR(SEARCH("ENTREGADO",AH39)))</formula>
    </cfRule>
    <cfRule type="containsText" dxfId="1891" priority="4027" operator="containsText" text="PENDIENTE">
      <formula>NOT(ISERROR(SEARCH("PENDIENTE",AH39)))</formula>
    </cfRule>
    <cfRule type="containsText" dxfId="1890" priority="4026" operator="containsText" text="ENTREGADO">
      <formula>NOT(ISERROR(SEARCH("ENTREGADO",#REF!)))</formula>
    </cfRule>
    <cfRule type="containsText" dxfId="1889" priority="4016" operator="containsText" text="PENDIENTE">
      <formula>NOT(ISERROR(SEARCH("PENDIENTE",AH39)))</formula>
    </cfRule>
    <cfRule type="containsText" dxfId="1888" priority="4025" operator="containsText" text="ENTREGADO">
      <formula>NOT(ISERROR(SEARCH("ENTREGADO",AH39)))</formula>
    </cfRule>
    <cfRule type="containsText" dxfId="1887" priority="4024" operator="containsText" text="PENDIENTE">
      <formula>NOT(ISERROR(SEARCH("PENDIENTE",AH39)))</formula>
    </cfRule>
    <cfRule type="containsText" dxfId="1886" priority="4023" operator="containsText" text="PENDIENTE">
      <formula>NOT(ISERROR(SEARCH("PENDIENTE",#REF!)))</formula>
    </cfRule>
    <cfRule type="containsText" dxfId="1885" priority="4022" operator="containsText" text="ENTREGADO">
      <formula>NOT(ISERROR(SEARCH("ENTREGADO",AH39)))</formula>
    </cfRule>
    <cfRule type="containsText" dxfId="1884" priority="4021" operator="containsText" text="ENTREGADO">
      <formula>NOT(ISERROR(SEARCH("ENTREGADO",#REF!)))</formula>
    </cfRule>
    <cfRule type="containsText" dxfId="1883" priority="4020" operator="containsText" text="ENTREGADO">
      <formula>NOT(ISERROR(SEARCH("ENTREGADO",AH39)))</formula>
    </cfRule>
  </conditionalFormatting>
  <conditionalFormatting sqref="AH41">
    <cfRule type="containsText" dxfId="1882" priority="3692" operator="containsText" text="ENTREGADO">
      <formula>NOT(ISERROR(SEARCH("ENTREGADO",#REF!)))</formula>
    </cfRule>
    <cfRule type="containsText" dxfId="1881" priority="3691" operator="containsText" text="ENTREGADO">
      <formula>NOT(ISERROR(SEARCH("ENTREGADO",AH41)))</formula>
    </cfRule>
    <cfRule type="containsText" dxfId="1880" priority="3693" operator="containsText" text="PENDIENTE">
      <formula>NOT(ISERROR(SEARCH("PENDIENTE",AH41)))</formula>
    </cfRule>
    <cfRule type="containsText" dxfId="1879" priority="3690" operator="containsText" text="PENDIENTE">
      <formula>NOT(ISERROR(SEARCH("PENDIENTE",AH41)))</formula>
    </cfRule>
    <cfRule type="containsText" dxfId="1878" priority="3689" operator="containsText" text="PENDIENTE">
      <formula>NOT(ISERROR(SEARCH("PENDIENTE",#REF!)))</formula>
    </cfRule>
    <cfRule type="containsText" dxfId="1877" priority="3688" operator="containsText" text="ENTREGADO">
      <formula>NOT(ISERROR(SEARCH("ENTREGADO",AH41)))</formula>
    </cfRule>
    <cfRule type="containsText" dxfId="1876" priority="3687" operator="containsText" text="ENTREGADO">
      <formula>NOT(ISERROR(SEARCH("ENTREGADO",#REF!)))</formula>
    </cfRule>
    <cfRule type="containsText" dxfId="1875" priority="3686" operator="containsText" text="ENTREGADO">
      <formula>NOT(ISERROR(SEARCH("ENTREGADO",AH41)))</formula>
    </cfRule>
    <cfRule type="containsText" dxfId="1874" priority="3685" operator="containsText" text="PRIORIDAD">
      <formula>NOT(ISERROR(SEARCH("PRIORIDAD",AH41)))</formula>
    </cfRule>
    <cfRule type="containsText" dxfId="1873" priority="3684" operator="containsText" text="ENTREGADO">
      <formula>NOT(ISERROR(SEARCH("ENTREGADO",AH41)))</formula>
    </cfRule>
    <cfRule type="containsText" dxfId="1872" priority="3683" operator="containsText" text="PENDIENTE">
      <formula>NOT(ISERROR(SEARCH("PENDIENTE",#REF!)))</formula>
    </cfRule>
    <cfRule type="containsText" dxfId="1871" priority="3681" operator="containsText" text="ENTREGADO">
      <formula>NOT(ISERROR(SEARCH("ENTREGADO",AH41)))</formula>
    </cfRule>
    <cfRule type="containsText" dxfId="1870" priority="3682" operator="containsText" text="PENDIENTE">
      <formula>NOT(ISERROR(SEARCH("PENDIENTE",AH41)))</formula>
    </cfRule>
  </conditionalFormatting>
  <conditionalFormatting sqref="AH45 AH50 AH62:AH74">
    <cfRule type="containsText" dxfId="1869" priority="5751" operator="containsText" text="ENTREGADO">
      <formula>NOT(ISERROR(SEARCH("ENTREGADO",AH45)))</formula>
    </cfRule>
    <cfRule type="containsText" dxfId="1868" priority="5756" operator="containsText" text="PENDIENTE">
      <formula>NOT(ISERROR(SEARCH("PENDIENTE",AH45)))</formula>
    </cfRule>
  </conditionalFormatting>
  <conditionalFormatting sqref="AH45 AH71:AH74 AH56:AH58 AH50:AH54 AH62:AH69">
    <cfRule type="containsText" dxfId="1867" priority="6029" operator="containsText" text="ENTREGADO">
      <formula>NOT(ISERROR(SEARCH("ENTREGADO",AH45)))</formula>
    </cfRule>
    <cfRule type="containsText" dxfId="1866" priority="6031" operator="containsText" text="ENTREGADO">
      <formula>NOT(ISERROR(SEARCH("ENTREGADO",AH45)))</formula>
    </cfRule>
    <cfRule type="containsText" dxfId="1865" priority="6038" operator="containsText" text="PENDIENTE">
      <formula>NOT(ISERROR(SEARCH("PENDIENTE",AH45)))</formula>
    </cfRule>
    <cfRule type="containsText" dxfId="1864" priority="6037" operator="containsText" text="ENTREGADO">
      <formula>NOT(ISERROR(SEARCH("ENTREGADO",#REF!)))</formula>
    </cfRule>
    <cfRule type="containsText" dxfId="1863" priority="6036" operator="containsText" text="ENTREGADO">
      <formula>NOT(ISERROR(SEARCH("ENTREGADO",AH45)))</formula>
    </cfRule>
    <cfRule type="containsText" dxfId="1862" priority="6035" operator="containsText" text="PENDIENTE">
      <formula>NOT(ISERROR(SEARCH("PENDIENTE",AH45)))</formula>
    </cfRule>
    <cfRule type="containsText" dxfId="1861" priority="6034" operator="containsText" text="PENDIENTE">
      <formula>NOT(ISERROR(SEARCH("PENDIENTE",#REF!)))</formula>
    </cfRule>
    <cfRule type="containsText" dxfId="1860" priority="6033" operator="containsText" text="ENTREGADO">
      <formula>NOT(ISERROR(SEARCH("ENTREGADO",AH45)))</formula>
    </cfRule>
    <cfRule type="containsText" dxfId="1859" priority="6032" operator="containsText" text="ENTREGADO">
      <formula>NOT(ISERROR(SEARCH("ENTREGADO",#REF!)))</formula>
    </cfRule>
    <cfRule type="containsText" dxfId="1858" priority="6028" operator="containsText" text="PENDIENTE">
      <formula>NOT(ISERROR(SEARCH("PENDIENTE",#REF!)))</formula>
    </cfRule>
  </conditionalFormatting>
  <conditionalFormatting sqref="AH46:AH49">
    <cfRule type="containsText" dxfId="1857" priority="4335" operator="containsText" text="PENDIENTE">
      <formula>NOT(ISERROR(SEARCH("PENDIENTE",AH46)))</formula>
    </cfRule>
    <cfRule type="containsText" dxfId="1856" priority="4336" operator="containsText" text="ENTREGADO">
      <formula>NOT(ISERROR(SEARCH("ENTREGADO",AH46)))</formula>
    </cfRule>
    <cfRule type="containsText" dxfId="1855" priority="4337" operator="containsText" text="ENTREGADO">
      <formula>NOT(ISERROR(SEARCH("ENTREGADO",#REF!)))</formula>
    </cfRule>
    <cfRule type="containsText" dxfId="1854" priority="4338" operator="containsText" text="PENDIENTE">
      <formula>NOT(ISERROR(SEARCH("PENDIENTE",AH46)))</formula>
    </cfRule>
    <cfRule type="containsText" dxfId="1853" priority="4331" operator="containsText" text="ENTREGADO">
      <formula>NOT(ISERROR(SEARCH("ENTREGADO",AH46)))</formula>
    </cfRule>
    <cfRule type="containsText" dxfId="1852" priority="4329" operator="containsText" text="ENTREGADO">
      <formula>NOT(ISERROR(SEARCH("ENTREGADO",AH46)))</formula>
    </cfRule>
    <cfRule type="containsText" dxfId="1851" priority="4302" operator="containsText" text="PENDIENTE">
      <formula>NOT(ISERROR(SEARCH("PENDIENTE",AH46)))</formula>
    </cfRule>
    <cfRule type="containsText" dxfId="1850" priority="4301" operator="containsText" text="ENTREGADO">
      <formula>NOT(ISERROR(SEARCH("ENTREGADO",AH46)))</formula>
    </cfRule>
    <cfRule type="containsText" dxfId="1849" priority="4332" operator="containsText" text="ENTREGADO">
      <formula>NOT(ISERROR(SEARCH("ENTREGADO",#REF!)))</formula>
    </cfRule>
    <cfRule type="containsText" dxfId="1848" priority="4333" operator="containsText" text="ENTREGADO">
      <formula>NOT(ISERROR(SEARCH("ENTREGADO",AH46)))</formula>
    </cfRule>
    <cfRule type="containsText" dxfId="1847" priority="4334" operator="containsText" text="PENDIENTE">
      <formula>NOT(ISERROR(SEARCH("PENDIENTE",#REF!)))</formula>
    </cfRule>
    <cfRule type="containsText" dxfId="1846" priority="4328" operator="containsText" text="PENDIENTE">
      <formula>NOT(ISERROR(SEARCH("PENDIENTE",#REF!)))</formula>
    </cfRule>
  </conditionalFormatting>
  <conditionalFormatting sqref="AH55 AA55">
    <cfRule type="containsText" dxfId="1845" priority="581" operator="containsText" text="ENTREGADO">
      <formula>NOT(ISERROR(SEARCH("ENTREGADO",AA55)))</formula>
    </cfRule>
    <cfRule type="containsText" dxfId="1844" priority="582" operator="containsText" text="PENDIENTE">
      <formula>NOT(ISERROR(SEARCH("PENDIENTE",AA55)))</formula>
    </cfRule>
  </conditionalFormatting>
  <conditionalFormatting sqref="AH55">
    <cfRule type="containsText" dxfId="1843" priority="542" operator="containsText" text="PENDIENTE">
      <formula>NOT(ISERROR(SEARCH("PENDIENTE",#REF!)))</formula>
    </cfRule>
    <cfRule type="containsText" dxfId="1842" priority="543" operator="containsText" text="PENDIENTE">
      <formula>NOT(ISERROR(SEARCH("PENDIENTE",AH55)))</formula>
    </cfRule>
    <cfRule type="containsText" dxfId="1841" priority="546" operator="containsText" text="PENDIENTE">
      <formula>NOT(ISERROR(SEARCH("PENDIENTE",AH55)))</formula>
    </cfRule>
    <cfRule type="containsText" dxfId="1840" priority="539" operator="containsText" text="ENTREGADO">
      <formula>NOT(ISERROR(SEARCH("ENTREGADO",AH55)))</formula>
    </cfRule>
    <cfRule type="containsText" dxfId="1839" priority="544" operator="containsText" text="ENTREGADO">
      <formula>NOT(ISERROR(SEARCH("ENTREGADO",AH55)))</formula>
    </cfRule>
    <cfRule type="containsText" dxfId="1838" priority="545" operator="containsText" text="ENTREGADO">
      <formula>NOT(ISERROR(SEARCH("ENTREGADO",#REF!)))</formula>
    </cfRule>
    <cfRule type="containsText" dxfId="1837" priority="537" operator="containsText" text="PENDIENTE">
      <formula>NOT(ISERROR(SEARCH("PENDIENTE",#REF!)))</formula>
    </cfRule>
    <cfRule type="containsText" dxfId="1836" priority="538" operator="containsText" text="ENTREGADO">
      <formula>NOT(ISERROR(SEARCH("ENTREGADO",AH55)))</formula>
    </cfRule>
    <cfRule type="containsText" dxfId="1835" priority="540" operator="containsText" text="ENTREGADO">
      <formula>NOT(ISERROR(SEARCH("ENTREGADO",#REF!)))</formula>
    </cfRule>
    <cfRule type="containsText" dxfId="1834" priority="541" operator="containsText" text="ENTREGADO">
      <formula>NOT(ISERROR(SEARCH("ENTREGADO",AH55)))</formula>
    </cfRule>
  </conditionalFormatting>
  <conditionalFormatting sqref="AH59">
    <cfRule type="containsText" dxfId="1833" priority="3459" operator="containsText" text="PENDIENTE">
      <formula>NOT(ISERROR(SEARCH("PENDIENTE",#REF!)))</formula>
    </cfRule>
    <cfRule type="containsText" dxfId="1832" priority="3460" operator="containsText" text="PENDIENTE">
      <formula>NOT(ISERROR(SEARCH("PENDIENTE",AH59)))</formula>
    </cfRule>
    <cfRule type="containsText" dxfId="1831" priority="3458" operator="containsText" text="ENTREGADO">
      <formula>NOT(ISERROR(SEARCH("ENTREGADO",AH59)))</formula>
    </cfRule>
    <cfRule type="containsText" dxfId="1830" priority="3461" operator="containsText" text="ENTREGADO">
      <formula>NOT(ISERROR(SEARCH("ENTREGADO",AH59)))</formula>
    </cfRule>
    <cfRule type="containsText" dxfId="1829" priority="3462" operator="containsText" text="ENTREGADO">
      <formula>NOT(ISERROR(SEARCH("ENTREGADO",#REF!)))</formula>
    </cfRule>
    <cfRule type="containsText" dxfId="1828" priority="3457" operator="containsText" text="ENTREGADO">
      <formula>NOT(ISERROR(SEARCH("ENTREGADO",#REF!)))</formula>
    </cfRule>
    <cfRule type="containsText" dxfId="1827" priority="3456" operator="containsText" text="ENTREGADO">
      <formula>NOT(ISERROR(SEARCH("ENTREGADO",AH59)))</formula>
    </cfRule>
    <cfRule type="containsText" dxfId="1826" priority="3454" operator="containsText" text="ENTREGADO">
      <formula>NOT(ISERROR(SEARCH("ENTREGADO",AH59)))</formula>
    </cfRule>
    <cfRule type="containsText" dxfId="1825" priority="3453" operator="containsText" text="PENDIENTE">
      <formula>NOT(ISERROR(SEARCH("PENDIENTE",#REF!)))</formula>
    </cfRule>
    <cfRule type="containsText" dxfId="1824" priority="3463" operator="containsText" text="PENDIENTE">
      <formula>NOT(ISERROR(SEARCH("PENDIENTE",AH59)))</formula>
    </cfRule>
    <cfRule type="containsText" dxfId="1823" priority="3429" operator="containsText" text="ENTREGADO">
      <formula>NOT(ISERROR(SEARCH("ENTREGADO",AH59)))</formula>
    </cfRule>
    <cfRule type="containsText" dxfId="1822" priority="3430" operator="containsText" text="PENDIENTE">
      <formula>NOT(ISERROR(SEARCH("PENDIENTE",AH59)))</formula>
    </cfRule>
  </conditionalFormatting>
  <conditionalFormatting sqref="AH60">
    <cfRule type="containsText" dxfId="1821" priority="4628" operator="containsText" text="ENTREGADO">
      <formula>NOT(ISERROR(SEARCH("ENTREGADO",AH60)))</formula>
    </cfRule>
    <cfRule type="containsText" dxfId="1820" priority="4629" operator="containsText" text="ENTREGADO">
      <formula>NOT(ISERROR(SEARCH("ENTREGADO",#REF!)))</formula>
    </cfRule>
    <cfRule type="containsText" dxfId="1819" priority="4625" operator="containsText" text="ENTREGADO">
      <formula>NOT(ISERROR(SEARCH("ENTREGADO",AH60)))</formula>
    </cfRule>
    <cfRule type="containsText" dxfId="1818" priority="4626" operator="containsText" text="PENDIENTE">
      <formula>NOT(ISERROR(SEARCH("PENDIENTE",#REF!)))</formula>
    </cfRule>
    <cfRule type="containsText" dxfId="1817" priority="4627" operator="containsText" text="PENDIENTE">
      <formula>NOT(ISERROR(SEARCH("PENDIENTE",AH60)))</formula>
    </cfRule>
    <cfRule type="containsText" dxfId="1816" priority="4596" operator="containsText" text="ENTREGADO">
      <formula>NOT(ISERROR(SEARCH("ENTREGADO",AH60)))</formula>
    </cfRule>
    <cfRule type="containsText" dxfId="1815" priority="4620" operator="containsText" text="PENDIENTE">
      <formula>NOT(ISERROR(SEARCH("PENDIENTE",#REF!)))</formula>
    </cfRule>
    <cfRule type="containsText" dxfId="1814" priority="4597" operator="containsText" text="PENDIENTE">
      <formula>NOT(ISERROR(SEARCH("PENDIENTE",AH60)))</formula>
    </cfRule>
    <cfRule type="containsText" dxfId="1813" priority="4621" operator="containsText" text="ENTREGADO">
      <formula>NOT(ISERROR(SEARCH("ENTREGADO",AH60)))</formula>
    </cfRule>
    <cfRule type="containsText" dxfId="1812" priority="4623" operator="containsText" text="ENTREGADO">
      <formula>NOT(ISERROR(SEARCH("ENTREGADO",AH60)))</formula>
    </cfRule>
    <cfRule type="containsText" dxfId="1811" priority="4624" operator="containsText" text="ENTREGADO">
      <formula>NOT(ISERROR(SEARCH("ENTREGADO",#REF!)))</formula>
    </cfRule>
    <cfRule type="containsText" dxfId="1810" priority="4630" operator="containsText" text="PENDIENTE">
      <formula>NOT(ISERROR(SEARCH("PENDIENTE",AH60)))</formula>
    </cfRule>
  </conditionalFormatting>
  <conditionalFormatting sqref="AH61">
    <cfRule type="containsText" dxfId="1809" priority="4487" operator="containsText" text="PENDIENTE">
      <formula>NOT(ISERROR(SEARCH("PENDIENTE",#REF!)))</formula>
    </cfRule>
    <cfRule type="containsText" dxfId="1808" priority="4488" operator="containsText" text="PENDIENTE">
      <formula>NOT(ISERROR(SEARCH("PENDIENTE",AH61)))</formula>
    </cfRule>
    <cfRule type="containsText" dxfId="1807" priority="4489" operator="containsText" text="ENTREGADO">
      <formula>NOT(ISERROR(SEARCH("ENTREGADO",AH61)))</formula>
    </cfRule>
    <cfRule type="containsText" dxfId="1806" priority="4490" operator="containsText" text="ENTREGADO">
      <formula>NOT(ISERROR(SEARCH("ENTREGADO",#REF!)))</formula>
    </cfRule>
    <cfRule type="containsText" dxfId="1805" priority="4491" operator="containsText" text="PENDIENTE">
      <formula>NOT(ISERROR(SEARCH("PENDIENTE",AH61)))</formula>
    </cfRule>
    <cfRule type="containsText" dxfId="1804" priority="4481" operator="containsText" text="PENDIENTE">
      <formula>NOT(ISERROR(SEARCH("PENDIENTE",#REF!)))</formula>
    </cfRule>
    <cfRule type="containsText" dxfId="1803" priority="4457" operator="containsText" text="ENTREGADO">
      <formula>NOT(ISERROR(SEARCH("ENTREGADO",AH61)))</formula>
    </cfRule>
    <cfRule type="containsText" dxfId="1802" priority="4458" operator="containsText" text="PENDIENTE">
      <formula>NOT(ISERROR(SEARCH("PENDIENTE",AH61)))</formula>
    </cfRule>
    <cfRule type="containsText" dxfId="1801" priority="4482" operator="containsText" text="ENTREGADO">
      <formula>NOT(ISERROR(SEARCH("ENTREGADO",AH61)))</formula>
    </cfRule>
    <cfRule type="containsText" dxfId="1800" priority="4486" operator="containsText" text="ENTREGADO">
      <formula>NOT(ISERROR(SEARCH("ENTREGADO",AH61)))</formula>
    </cfRule>
    <cfRule type="containsText" dxfId="1799" priority="4484" operator="containsText" text="ENTREGADO">
      <formula>NOT(ISERROR(SEARCH("ENTREGADO",AH61)))</formula>
    </cfRule>
    <cfRule type="containsText" dxfId="1798" priority="4485" operator="containsText" text="ENTREGADO">
      <formula>NOT(ISERROR(SEARCH("ENTREGADO",#REF!)))</formula>
    </cfRule>
  </conditionalFormatting>
  <conditionalFormatting sqref="AH70">
    <cfRule type="containsText" dxfId="1797" priority="5746" operator="containsText" text="PENDIENTE">
      <formula>NOT(ISERROR(SEARCH("PENDIENTE",#REF!)))</formula>
    </cfRule>
    <cfRule type="containsText" dxfId="1796" priority="5745" operator="containsText" text="PENDIENTE">
      <formula>NOT(ISERROR(SEARCH("PENDIENTE",AH70)))</formula>
    </cfRule>
    <cfRule type="containsText" dxfId="1795" priority="5744" operator="containsText" text="ENTREGADO">
      <formula>NOT(ISERROR(SEARCH("ENTREGADO",AH70)))</formula>
    </cfRule>
    <cfRule type="containsText" dxfId="1794" priority="5755" operator="containsText" text="ENTREGADO">
      <formula>NOT(ISERROR(SEARCH("ENTREGADO",#REF!)))</formula>
    </cfRule>
    <cfRule type="containsText" dxfId="1793" priority="5753" operator="containsText" text="PENDIENTE">
      <formula>NOT(ISERROR(SEARCH("PENDIENTE",AH70)))</formula>
    </cfRule>
    <cfRule type="containsText" dxfId="1792" priority="5750" operator="containsText" text="ENTREGADO">
      <formula>NOT(ISERROR(SEARCH("ENTREGADO",#REF!)))</formula>
    </cfRule>
    <cfRule type="containsText" dxfId="1791" priority="5752" operator="containsText" text="PENDIENTE">
      <formula>NOT(ISERROR(SEARCH("PENDIENTE",#REF!)))</formula>
    </cfRule>
    <cfRule type="containsText" dxfId="1790" priority="5754" operator="containsText" text="ENTREGADO">
      <formula>NOT(ISERROR(SEARCH("ENTREGADO",AH70)))</formula>
    </cfRule>
    <cfRule type="containsText" dxfId="1789" priority="5749" operator="containsText" text="ENTREGADO">
      <formula>NOT(ISERROR(SEARCH("ENTREGADO",AH70)))</formula>
    </cfRule>
    <cfRule type="containsText" dxfId="1788" priority="5748" operator="containsText" text="PRIORIDAD">
      <formula>NOT(ISERROR(SEARCH("PRIORIDAD",AH70)))</formula>
    </cfRule>
    <cfRule type="containsText" dxfId="1787" priority="5747" operator="containsText" text="ENTREGADO">
      <formula>NOT(ISERROR(SEARCH("ENTREGADO",AH70)))</formula>
    </cfRule>
  </conditionalFormatting>
  <conditionalFormatting sqref="AH75">
    <cfRule type="containsText" dxfId="1786" priority="4763" operator="containsText" text="ENTREGADO">
      <formula>NOT(ISERROR(SEARCH("ENTREGADO",#REF!)))</formula>
    </cfRule>
    <cfRule type="containsText" dxfId="1785" priority="4734" operator="containsText" text="ENTREGADO">
      <formula>NOT(ISERROR(SEARCH("ENTREGADO",AH75)))</formula>
    </cfRule>
    <cfRule type="containsText" dxfId="1784" priority="4758" operator="containsText" text="PENDIENTE">
      <formula>NOT(ISERROR(SEARCH("PENDIENTE",AH75)))</formula>
    </cfRule>
    <cfRule type="containsText" dxfId="1783" priority="4759" operator="containsText" text="PENDIENTE">
      <formula>NOT(ISERROR(SEARCH("PENDIENTE",#REF!)))</formula>
    </cfRule>
    <cfRule type="containsText" dxfId="1782" priority="4760" operator="containsText" text="ENTREGADO">
      <formula>NOT(ISERROR(SEARCH("ENTREGADO",AH75)))</formula>
    </cfRule>
    <cfRule type="containsText" dxfId="1781" priority="4762" operator="containsText" text="ENTREGADO">
      <formula>NOT(ISERROR(SEARCH("ENTREGADO",AH75)))</formula>
    </cfRule>
    <cfRule type="containsText" dxfId="1780" priority="4764" operator="containsText" text="ENTREGADO">
      <formula>NOT(ISERROR(SEARCH("ENTREGADO",AH75)))</formula>
    </cfRule>
    <cfRule type="containsText" dxfId="1779" priority="4765" operator="containsText" text="PENDIENTE">
      <formula>NOT(ISERROR(SEARCH("PENDIENTE",#REF!)))</formula>
    </cfRule>
    <cfRule type="containsText" dxfId="1778" priority="4766" operator="containsText" text="PENDIENTE">
      <formula>NOT(ISERROR(SEARCH("PENDIENTE",AH75)))</formula>
    </cfRule>
    <cfRule type="containsText" dxfId="1777" priority="4769" operator="containsText" text="PENDIENTE">
      <formula>NOT(ISERROR(SEARCH("PENDIENTE",AH75)))</formula>
    </cfRule>
    <cfRule type="containsText" dxfId="1776" priority="4768" operator="containsText" text="ENTREGADO">
      <formula>NOT(ISERROR(SEARCH("ENTREGADO",#REF!)))</formula>
    </cfRule>
    <cfRule type="containsText" dxfId="1775" priority="4767" operator="containsText" text="ENTREGADO">
      <formula>NOT(ISERROR(SEARCH("ENTREGADO",AH75)))</formula>
    </cfRule>
  </conditionalFormatting>
  <conditionalFormatting sqref="AH76 AH80:AH81 AH83:AH84">
    <cfRule type="containsText" dxfId="1774" priority="2881" operator="containsText" text="ENTREGADO">
      <formula>NOT(ISERROR(SEARCH("ENTREGADO",#REF!)))</formula>
    </cfRule>
    <cfRule type="containsText" dxfId="1773" priority="2882" operator="containsText" text="ENTREGADO">
      <formula>NOT(ISERROR(SEARCH("ENTREGADO",AH76)))</formula>
    </cfRule>
    <cfRule type="containsText" dxfId="1772" priority="2883" operator="containsText" text="PENDIENTE">
      <formula>NOT(ISERROR(SEARCH("PENDIENTE",#REF!)))</formula>
    </cfRule>
    <cfRule type="containsText" dxfId="1771" priority="2884" operator="containsText" text="PENDIENTE">
      <formula>NOT(ISERROR(SEARCH("PENDIENTE",AH76)))</formula>
    </cfRule>
    <cfRule type="containsText" dxfId="1770" priority="2885" operator="containsText" text="ENTREGADO">
      <formula>NOT(ISERROR(SEARCH("ENTREGADO",AH76)))</formula>
    </cfRule>
    <cfRule type="containsText" dxfId="1769" priority="2886" operator="containsText" text="ENTREGADO">
      <formula>NOT(ISERROR(SEARCH("ENTREGADO",#REF!)))</formula>
    </cfRule>
    <cfRule type="containsText" dxfId="1768" priority="2887" operator="containsText" text="PENDIENTE">
      <formula>NOT(ISERROR(SEARCH("PENDIENTE",AH76)))</formula>
    </cfRule>
    <cfRule type="containsText" dxfId="1767" priority="2853" operator="containsText" text="ENTREGADO">
      <formula>NOT(ISERROR(SEARCH("ENTREGADO",AH76)))</formula>
    </cfRule>
    <cfRule type="containsText" dxfId="1766" priority="2876" operator="containsText" text="PENDIENTE">
      <formula>NOT(ISERROR(SEARCH("PENDIENTE",AH76)))</formula>
    </cfRule>
    <cfRule type="containsText" dxfId="1765" priority="2877" operator="containsText" text="PENDIENTE">
      <formula>NOT(ISERROR(SEARCH("PENDIENTE",#REF!)))</formula>
    </cfRule>
    <cfRule type="containsText" dxfId="1764" priority="2878" operator="containsText" text="ENTREGADO">
      <formula>NOT(ISERROR(SEARCH("ENTREGADO",AH76)))</formula>
    </cfRule>
    <cfRule type="containsText" dxfId="1763" priority="2880" operator="containsText" text="ENTREGADO">
      <formula>NOT(ISERROR(SEARCH("ENTREGADO",AH76)))</formula>
    </cfRule>
  </conditionalFormatting>
  <conditionalFormatting sqref="AH77">
    <cfRule type="containsText" dxfId="1762" priority="2023" operator="containsText" text="ENTREGADO">
      <formula>NOT(ISERROR(SEARCH("ENTREGADO",AH77)))</formula>
    </cfRule>
    <cfRule type="containsText" dxfId="1761" priority="2019" operator="containsText" text="ENTREGADO">
      <formula>NOT(ISERROR(SEARCH("ENTREGADO",AH77)))</formula>
    </cfRule>
    <cfRule type="containsText" dxfId="1760" priority="2017" operator="containsText" text="PENDIENTE">
      <formula>NOT(ISERROR(SEARCH("PENDIENTE",AH77)))</formula>
    </cfRule>
    <cfRule type="containsText" dxfId="1759" priority="2016" operator="containsText" text="ENTREGADO">
      <formula>NOT(ISERROR(SEARCH("ENTREGADO",AH77)))</formula>
    </cfRule>
    <cfRule type="containsText" dxfId="1758" priority="2022" operator="containsText" text="ENTREGADO">
      <formula>NOT(ISERROR(SEARCH("ENTREGADO",#REF!)))</formula>
    </cfRule>
    <cfRule type="containsText" dxfId="1757" priority="2021" operator="containsText" text="ENTREGADO">
      <formula>NOT(ISERROR(SEARCH("ENTREGADO",AH77)))</formula>
    </cfRule>
    <cfRule type="containsText" dxfId="1756" priority="2020" operator="containsText" text="PRIORIDAD">
      <formula>NOT(ISERROR(SEARCH("PRIORIDAD",AH77)))</formula>
    </cfRule>
    <cfRule type="containsText" dxfId="1755" priority="2018" operator="containsText" text="PENDIENTE">
      <formula>NOT(ISERROR(SEARCH("PENDIENTE",#REF!)))</formula>
    </cfRule>
    <cfRule type="containsText" dxfId="1754" priority="2028" operator="containsText" text="PENDIENTE">
      <formula>NOT(ISERROR(SEARCH("PENDIENTE",AH77)))</formula>
    </cfRule>
    <cfRule type="containsText" dxfId="1753" priority="2026" operator="containsText" text="ENTREGADO">
      <formula>NOT(ISERROR(SEARCH("ENTREGADO",AH77)))</formula>
    </cfRule>
    <cfRule type="containsText" dxfId="1752" priority="2024" operator="containsText" text="PENDIENTE">
      <formula>NOT(ISERROR(SEARCH("PENDIENTE",#REF!)))</formula>
    </cfRule>
    <cfRule type="containsText" dxfId="1751" priority="2025" operator="containsText" text="PENDIENTE">
      <formula>NOT(ISERROR(SEARCH("PENDIENTE",AH77)))</formula>
    </cfRule>
    <cfRule type="containsText" dxfId="1750" priority="2027" operator="containsText" text="ENTREGADO">
      <formula>NOT(ISERROR(SEARCH("ENTREGADO",#REF!)))</formula>
    </cfRule>
  </conditionalFormatting>
  <conditionalFormatting sqref="AH78 AA78">
    <cfRule type="containsText" dxfId="1749" priority="1610" operator="containsText" text="PENDIENTE">
      <formula>NOT(ISERROR(SEARCH("PENDIENTE",AA78)))</formula>
    </cfRule>
    <cfRule type="containsText" dxfId="1748" priority="1609" operator="containsText" text="ENTREGADO">
      <formula>NOT(ISERROR(SEARCH("ENTREGADO",AA78)))</formula>
    </cfRule>
  </conditionalFormatting>
  <conditionalFormatting sqref="AH78">
    <cfRule type="containsText" dxfId="1747" priority="1572" operator="containsText" text="ENTREGADO">
      <formula>NOT(ISERROR(SEARCH("ENTREGADO",AH78)))</formula>
    </cfRule>
    <cfRule type="containsText" dxfId="1746" priority="1573" operator="containsText" text="ENTREGADO">
      <formula>NOT(ISERROR(SEARCH("ENTREGADO",#REF!)))</formula>
    </cfRule>
    <cfRule type="containsText" dxfId="1745" priority="1567" operator="containsText" text="ENTREGADO">
      <formula>NOT(ISERROR(SEARCH("ENTREGADO",AH78)))</formula>
    </cfRule>
    <cfRule type="containsText" dxfId="1744" priority="1574" operator="containsText" text="PENDIENTE">
      <formula>NOT(ISERROR(SEARCH("PENDIENTE",AH78)))</formula>
    </cfRule>
    <cfRule type="containsText" dxfId="1743" priority="1570" operator="containsText" text="PENDIENTE">
      <formula>NOT(ISERROR(SEARCH("PENDIENTE",#REF!)))</formula>
    </cfRule>
    <cfRule type="containsText" dxfId="1742" priority="1565" operator="containsText" text="PENDIENTE">
      <formula>NOT(ISERROR(SEARCH("PENDIENTE",#REF!)))</formula>
    </cfRule>
    <cfRule type="containsText" dxfId="1741" priority="1569" operator="containsText" text="ENTREGADO">
      <formula>NOT(ISERROR(SEARCH("ENTREGADO",AH78)))</formula>
    </cfRule>
    <cfRule type="containsText" dxfId="1740" priority="1568" operator="containsText" text="ENTREGADO">
      <formula>NOT(ISERROR(SEARCH("ENTREGADO",#REF!)))</formula>
    </cfRule>
    <cfRule type="containsText" dxfId="1739" priority="1566" operator="containsText" text="ENTREGADO">
      <formula>NOT(ISERROR(SEARCH("ENTREGADO",AH78)))</formula>
    </cfRule>
    <cfRule type="containsText" dxfId="1738" priority="1571" operator="containsText" text="PENDIENTE">
      <formula>NOT(ISERROR(SEARCH("PENDIENTE",AH78)))</formula>
    </cfRule>
  </conditionalFormatting>
  <conditionalFormatting sqref="AH79">
    <cfRule type="containsText" dxfId="1737" priority="1447" operator="containsText" text="ENTREGADO">
      <formula>NOT(ISERROR(SEARCH("ENTREGADO",AH79)))</formula>
    </cfRule>
    <cfRule type="containsText" dxfId="1736" priority="1482" operator="containsText" text="ENTREGADO">
      <formula>NOT(ISERROR(SEARCH("ENTREGADO",AH79)))</formula>
    </cfRule>
    <cfRule type="containsText" dxfId="1735" priority="1487" operator="containsText" text="PENDIENTE">
      <formula>NOT(ISERROR(SEARCH("PENDIENTE",AH79)))</formula>
    </cfRule>
    <cfRule type="containsText" dxfId="1734" priority="1484" operator="containsText" text="PENDIENTE">
      <formula>NOT(ISERROR(SEARCH("PENDIENTE",AH79)))</formula>
    </cfRule>
    <cfRule type="containsText" dxfId="1733" priority="1481" operator="containsText" text="ENTREGADO">
      <formula>NOT(ISERROR(SEARCH("ENTREGADO",#REF!)))</formula>
    </cfRule>
    <cfRule type="containsText" dxfId="1732" priority="1480" operator="containsText" text="ENTREGADO">
      <formula>NOT(ISERROR(SEARCH("ENTREGADO",AH79)))</formula>
    </cfRule>
    <cfRule type="containsText" dxfId="1731" priority="1478" operator="containsText" text="ENTREGADO">
      <formula>NOT(ISERROR(SEARCH("ENTREGADO",AH79)))</formula>
    </cfRule>
    <cfRule type="containsText" dxfId="1730" priority="1483" operator="containsText" text="PENDIENTE">
      <formula>NOT(ISERROR(SEARCH("PENDIENTE",#REF!)))</formula>
    </cfRule>
    <cfRule type="containsText" dxfId="1729" priority="1448" operator="containsText" text="PENDIENTE">
      <formula>NOT(ISERROR(SEARCH("PENDIENTE",AH79)))</formula>
    </cfRule>
    <cfRule type="containsText" dxfId="1728" priority="1485" operator="containsText" text="ENTREGADO">
      <formula>NOT(ISERROR(SEARCH("ENTREGADO",AH79)))</formula>
    </cfRule>
    <cfRule type="containsText" dxfId="1727" priority="1486" operator="containsText" text="ENTREGADO">
      <formula>NOT(ISERROR(SEARCH("ENTREGADO",#REF!)))</formula>
    </cfRule>
    <cfRule type="containsText" dxfId="1726" priority="1477" operator="containsText" text="PENDIENTE">
      <formula>NOT(ISERROR(SEARCH("PENDIENTE",#REF!)))</formula>
    </cfRule>
  </conditionalFormatting>
  <conditionalFormatting sqref="AH80">
    <cfRule type="containsText" dxfId="1725" priority="280" operator="containsText" text="ENTREGADO">
      <formula>NOT(ISERROR(SEARCH("ENTREGADO",AH80)))</formula>
    </cfRule>
    <cfRule type="containsText" dxfId="1724" priority="282" operator="containsText" text="PENDIENTE">
      <formula>NOT(ISERROR(SEARCH("PENDIENTE",#REF!)))</formula>
    </cfRule>
    <cfRule type="containsText" dxfId="1723" priority="281" operator="containsText" text="ENTREGADO">
      <formula>NOT(ISERROR(SEARCH("ENTREGADO",AH80)))</formula>
    </cfRule>
    <cfRule type="containsText" dxfId="1722" priority="279" operator="containsText" text="PENDIENTE">
      <formula>NOT(ISERROR(SEARCH("PENDIENTE",AH80)))</formula>
    </cfRule>
    <cfRule type="containsText" dxfId="1721" priority="278" operator="containsText" text="ENTREGADO">
      <formula>NOT(ISERROR(SEARCH("ENTREGADO",#REF!)))</formula>
    </cfRule>
    <cfRule type="containsText" dxfId="1720" priority="277" operator="containsText" text="PRIORIDAD">
      <formula>NOT(ISERROR(SEARCH("PRIORIDAD",AH80)))</formula>
    </cfRule>
  </conditionalFormatting>
  <conditionalFormatting sqref="AH82">
    <cfRule type="containsText" dxfId="1719" priority="1341" operator="containsText" text="ENTREGADO">
      <formula>NOT(ISERROR(SEARCH("ENTREGADO",#REF!)))</formula>
    </cfRule>
    <cfRule type="containsText" dxfId="1718" priority="1340" operator="containsText" text="ENTREGADO">
      <formula>NOT(ISERROR(SEARCH("ENTREGADO",AH82)))</formula>
    </cfRule>
    <cfRule type="containsText" dxfId="1717" priority="1339" operator="containsText" text="PENDIENTE">
      <formula>NOT(ISERROR(SEARCH("PENDIENTE",AH82)))</formula>
    </cfRule>
    <cfRule type="containsText" dxfId="1716" priority="1337" operator="containsText" text="ENTREGADO">
      <formula>NOT(ISERROR(SEARCH("ENTREGADO",AH82)))</formula>
    </cfRule>
    <cfRule type="containsText" dxfId="1715" priority="1308" operator="containsText" text="ENTREGADO">
      <formula>NOT(ISERROR(SEARCH("ENTREGADO",AH82)))</formula>
    </cfRule>
    <cfRule type="containsText" dxfId="1714" priority="1331" operator="containsText" text="PENDIENTE">
      <formula>NOT(ISERROR(SEARCH("PENDIENTE",AH82)))</formula>
    </cfRule>
    <cfRule type="containsText" dxfId="1713" priority="1338" operator="containsText" text="PENDIENTE">
      <formula>NOT(ISERROR(SEARCH("PENDIENTE",#REF!)))</formula>
    </cfRule>
    <cfRule type="containsText" dxfId="1712" priority="1333" operator="containsText" text="ENTREGADO">
      <formula>NOT(ISERROR(SEARCH("ENTREGADO",AH82)))</formula>
    </cfRule>
    <cfRule type="containsText" dxfId="1711" priority="1332" operator="containsText" text="PENDIENTE">
      <formula>NOT(ISERROR(SEARCH("PENDIENTE",#REF!)))</formula>
    </cfRule>
    <cfRule type="containsText" dxfId="1710" priority="1342" operator="containsText" text="PENDIENTE">
      <formula>NOT(ISERROR(SEARCH("PENDIENTE",AH82)))</formula>
    </cfRule>
    <cfRule type="containsText" dxfId="1709" priority="1335" operator="containsText" text="ENTREGADO">
      <formula>NOT(ISERROR(SEARCH("ENTREGADO",AH82)))</formula>
    </cfRule>
    <cfRule type="containsText" dxfId="1708" priority="1336" operator="containsText" text="ENTREGADO">
      <formula>NOT(ISERROR(SEARCH("ENTREGADO",#REF!)))</formula>
    </cfRule>
  </conditionalFormatting>
  <conditionalFormatting sqref="AH85">
    <cfRule type="containsText" dxfId="1707" priority="2624" operator="containsText" text="ENTREGADO">
      <formula>NOT(ISERROR(SEARCH("ENTREGADO",AH85)))</formula>
    </cfRule>
    <cfRule type="containsText" dxfId="1706" priority="2623" operator="containsText" text="ENTREGADO">
      <formula>NOT(ISERROR(SEARCH("ENTREGADO",#REF!)))</formula>
    </cfRule>
    <cfRule type="containsText" dxfId="1705" priority="2622" operator="containsText" text="ENTREGADO">
      <formula>NOT(ISERROR(SEARCH("ENTREGADO",AH85)))</formula>
    </cfRule>
    <cfRule type="containsText" dxfId="1704" priority="2626" operator="containsText" text="PENDIENTE">
      <formula>NOT(ISERROR(SEARCH("PENDIENTE",AH85)))</formula>
    </cfRule>
    <cfRule type="containsText" dxfId="1703" priority="2595" operator="containsText" text="ENTREGADO">
      <formula>NOT(ISERROR(SEARCH("ENTREGADO",AH85)))</formula>
    </cfRule>
    <cfRule type="containsText" dxfId="1702" priority="2629" operator="containsText" text="PENDIENTE">
      <formula>NOT(ISERROR(SEARCH("PENDIENTE",AH85)))</formula>
    </cfRule>
    <cfRule type="containsText" dxfId="1701" priority="2618" operator="containsText" text="PENDIENTE">
      <formula>NOT(ISERROR(SEARCH("PENDIENTE",AH85)))</formula>
    </cfRule>
    <cfRule type="containsText" dxfId="1700" priority="2619" operator="containsText" text="PENDIENTE">
      <formula>NOT(ISERROR(SEARCH("PENDIENTE",#REF!)))</formula>
    </cfRule>
    <cfRule type="containsText" dxfId="1699" priority="2620" operator="containsText" text="ENTREGADO">
      <formula>NOT(ISERROR(SEARCH("ENTREGADO",AH85)))</formula>
    </cfRule>
    <cfRule type="containsText" dxfId="1698" priority="2628" operator="containsText" text="ENTREGADO">
      <formula>NOT(ISERROR(SEARCH("ENTREGADO",#REF!)))</formula>
    </cfRule>
    <cfRule type="containsText" dxfId="1697" priority="2627" operator="containsText" text="ENTREGADO">
      <formula>NOT(ISERROR(SEARCH("ENTREGADO",AH85)))</formula>
    </cfRule>
    <cfRule type="containsText" dxfId="1696" priority="2625" operator="containsText" text="PENDIENTE">
      <formula>NOT(ISERROR(SEARCH("PENDIENTE",#REF!)))</formula>
    </cfRule>
  </conditionalFormatting>
  <conditionalFormatting sqref="AH86">
    <cfRule type="containsText" dxfId="1695" priority="2470" operator="containsText" text="PENDIENTE">
      <formula>NOT(ISERROR(SEARCH("PENDIENTE",#REF!)))</formula>
    </cfRule>
    <cfRule type="containsText" dxfId="1694" priority="2472" operator="containsText" text="ENTREGADO">
      <formula>NOT(ISERROR(SEARCH("ENTREGADO",AH86)))</formula>
    </cfRule>
    <cfRule type="containsText" dxfId="1693" priority="2474" operator="containsText" text="PENDIENTE">
      <formula>NOT(ISERROR(SEARCH("PENDIENTE",AH86)))</formula>
    </cfRule>
    <cfRule type="containsText" dxfId="1692" priority="2467" operator="containsText" text="ENTREGADO">
      <formula>NOT(ISERROR(SEARCH("ENTREGADO",AH86)))</formula>
    </cfRule>
    <cfRule type="containsText" dxfId="1691" priority="2440" operator="containsText" text="ENTREGADO">
      <formula>NOT(ISERROR(SEARCH("ENTREGADO",AH86)))</formula>
    </cfRule>
    <cfRule type="containsText" dxfId="1690" priority="2473" operator="containsText" text="ENTREGADO">
      <formula>NOT(ISERROR(SEARCH("ENTREGADO",#REF!)))</formula>
    </cfRule>
    <cfRule type="containsText" dxfId="1689" priority="2471" operator="containsText" text="PENDIENTE">
      <formula>NOT(ISERROR(SEARCH("PENDIENTE",AH86)))</formula>
    </cfRule>
    <cfRule type="containsText" dxfId="1688" priority="2463" operator="containsText" text="PENDIENTE">
      <formula>NOT(ISERROR(SEARCH("PENDIENTE",AH86)))</formula>
    </cfRule>
    <cfRule type="containsText" dxfId="1687" priority="2464" operator="containsText" text="PENDIENTE">
      <formula>NOT(ISERROR(SEARCH("PENDIENTE",#REF!)))</formula>
    </cfRule>
    <cfRule type="containsText" dxfId="1686" priority="2465" operator="containsText" text="ENTREGADO">
      <formula>NOT(ISERROR(SEARCH("ENTREGADO",AH86)))</formula>
    </cfRule>
    <cfRule type="containsText" dxfId="1685" priority="2468" operator="containsText" text="ENTREGADO">
      <formula>NOT(ISERROR(SEARCH("ENTREGADO",#REF!)))</formula>
    </cfRule>
    <cfRule type="containsText" dxfId="1684" priority="2469" operator="containsText" text="ENTREGADO">
      <formula>NOT(ISERROR(SEARCH("ENTREGADO",AH86)))</formula>
    </cfRule>
  </conditionalFormatting>
  <conditionalFormatting sqref="AH87">
    <cfRule type="containsText" dxfId="1683" priority="2339" operator="containsText" text="ENTREGADO">
      <formula>NOT(ISERROR(SEARCH("ENTREGADO",#REF!)))</formula>
    </cfRule>
    <cfRule type="containsText" dxfId="1682" priority="2311" operator="containsText" text="ENTREGADO">
      <formula>NOT(ISERROR(SEARCH("ENTREGADO",AH87)))</formula>
    </cfRule>
    <cfRule type="containsText" dxfId="1681" priority="2342" operator="containsText" text="PENDIENTE">
      <formula>NOT(ISERROR(SEARCH("PENDIENTE",AH87)))</formula>
    </cfRule>
    <cfRule type="containsText" dxfId="1680" priority="2338" operator="containsText" text="ENTREGADO">
      <formula>NOT(ISERROR(SEARCH("ENTREGADO",AH87)))</formula>
    </cfRule>
    <cfRule type="containsText" dxfId="1679" priority="2336" operator="containsText" text="ENTREGADO">
      <formula>NOT(ISERROR(SEARCH("ENTREGADO",AH87)))</formula>
    </cfRule>
    <cfRule type="containsText" dxfId="1678" priority="2335" operator="containsText" text="PENDIENTE">
      <formula>NOT(ISERROR(SEARCH("PENDIENTE",#REF!)))</formula>
    </cfRule>
    <cfRule type="containsText" dxfId="1677" priority="2334" operator="containsText" text="PENDIENTE">
      <formula>NOT(ISERROR(SEARCH("PENDIENTE",AH87)))</formula>
    </cfRule>
    <cfRule type="containsText" dxfId="1676" priority="2345" operator="containsText" text="PENDIENTE">
      <formula>NOT(ISERROR(SEARCH("PENDIENTE",AH87)))</formula>
    </cfRule>
    <cfRule type="containsText" dxfId="1675" priority="2344" operator="containsText" text="ENTREGADO">
      <formula>NOT(ISERROR(SEARCH("ENTREGADO",#REF!)))</formula>
    </cfRule>
    <cfRule type="containsText" dxfId="1674" priority="2343" operator="containsText" text="ENTREGADO">
      <formula>NOT(ISERROR(SEARCH("ENTREGADO",AH87)))</formula>
    </cfRule>
    <cfRule type="containsText" dxfId="1673" priority="2341" operator="containsText" text="PENDIENTE">
      <formula>NOT(ISERROR(SEARCH("PENDIENTE",#REF!)))</formula>
    </cfRule>
    <cfRule type="containsText" dxfId="1672" priority="2340" operator="containsText" text="ENTREGADO">
      <formula>NOT(ISERROR(SEARCH("ENTREGADO",AH87)))</formula>
    </cfRule>
  </conditionalFormatting>
  <conditionalFormatting sqref="AH88">
    <cfRule type="containsText" dxfId="1671" priority="2213" operator="containsText" text="PENDIENTE">
      <formula>NOT(ISERROR(SEARCH("PENDIENTE",AH88)))</formula>
    </cfRule>
    <cfRule type="containsText" dxfId="1670" priority="2182" operator="containsText" text="ENTREGADO">
      <formula>NOT(ISERROR(SEARCH("ENTREGADO",AH88)))</formula>
    </cfRule>
    <cfRule type="containsText" dxfId="1669" priority="2206" operator="containsText" text="PENDIENTE">
      <formula>NOT(ISERROR(SEARCH("PENDIENTE",#REF!)))</formula>
    </cfRule>
    <cfRule type="containsText" dxfId="1668" priority="2216" operator="containsText" text="PENDIENTE">
      <formula>NOT(ISERROR(SEARCH("PENDIENTE",AH88)))</formula>
    </cfRule>
    <cfRule type="containsText" dxfId="1667" priority="2215" operator="containsText" text="ENTREGADO">
      <formula>NOT(ISERROR(SEARCH("ENTREGADO",#REF!)))</formula>
    </cfRule>
    <cfRule type="containsText" dxfId="1666" priority="2214" operator="containsText" text="ENTREGADO">
      <formula>NOT(ISERROR(SEARCH("ENTREGADO",AH88)))</formula>
    </cfRule>
    <cfRule type="containsText" dxfId="1665" priority="2207" operator="containsText" text="ENTREGADO">
      <formula>NOT(ISERROR(SEARCH("ENTREGADO",AH88)))</formula>
    </cfRule>
    <cfRule type="containsText" dxfId="1664" priority="2212" operator="containsText" text="PENDIENTE">
      <formula>NOT(ISERROR(SEARCH("PENDIENTE",#REF!)))</formula>
    </cfRule>
    <cfRule type="containsText" dxfId="1663" priority="2211" operator="containsText" text="ENTREGADO">
      <formula>NOT(ISERROR(SEARCH("ENTREGADO",AH88)))</formula>
    </cfRule>
    <cfRule type="containsText" dxfId="1662" priority="2210" operator="containsText" text="ENTREGADO">
      <formula>NOT(ISERROR(SEARCH("ENTREGADO",#REF!)))</formula>
    </cfRule>
    <cfRule type="containsText" dxfId="1661" priority="2209" operator="containsText" text="ENTREGADO">
      <formula>NOT(ISERROR(SEARCH("ENTREGADO",AH88)))</formula>
    </cfRule>
    <cfRule type="containsText" dxfId="1660" priority="2205" operator="containsText" text="PENDIENTE">
      <formula>NOT(ISERROR(SEARCH("PENDIENTE",AH88)))</formula>
    </cfRule>
  </conditionalFormatting>
  <conditionalFormatting sqref="AH89">
    <cfRule type="containsText" dxfId="1659" priority="1829" operator="containsText" text="ENTREGADO">
      <formula>NOT(ISERROR(SEARCH("ENTREGADO",#REF!)))</formula>
    </cfRule>
    <cfRule type="containsText" dxfId="1658" priority="1828" operator="containsText" text="ENTREGADO">
      <formula>NOT(ISERROR(SEARCH("ENTREGADO",AH89)))</formula>
    </cfRule>
    <cfRule type="containsText" dxfId="1657" priority="1826" operator="containsText" text="ENTREGADO">
      <formula>NOT(ISERROR(SEARCH("ENTREGADO",AH89)))</formula>
    </cfRule>
    <cfRule type="containsText" dxfId="1656" priority="1830" operator="containsText" text="ENTREGADO">
      <formula>NOT(ISERROR(SEARCH("ENTREGADO",AH89)))</formula>
    </cfRule>
    <cfRule type="containsText" dxfId="1655" priority="1825" operator="containsText" text="PENDIENTE">
      <formula>NOT(ISERROR(SEARCH("PENDIENTE",#REF!)))</formula>
    </cfRule>
    <cfRule type="containsText" dxfId="1654" priority="1824" operator="containsText" text="PENDIENTE">
      <formula>NOT(ISERROR(SEARCH("PENDIENTE",AH89)))</formula>
    </cfRule>
    <cfRule type="containsText" dxfId="1653" priority="1801" operator="containsText" text="ENTREGADO">
      <formula>NOT(ISERROR(SEARCH("ENTREGADO",AH89)))</formula>
    </cfRule>
    <cfRule type="containsText" dxfId="1652" priority="1835" operator="containsText" text="PENDIENTE">
      <formula>NOT(ISERROR(SEARCH("PENDIENTE",AH89)))</formula>
    </cfRule>
    <cfRule type="containsText" dxfId="1651" priority="1834" operator="containsText" text="ENTREGADO">
      <formula>NOT(ISERROR(SEARCH("ENTREGADO",#REF!)))</formula>
    </cfRule>
    <cfRule type="containsText" dxfId="1650" priority="1833" operator="containsText" text="ENTREGADO">
      <formula>NOT(ISERROR(SEARCH("ENTREGADO",AH89)))</formula>
    </cfRule>
    <cfRule type="containsText" dxfId="1649" priority="1832" operator="containsText" text="PENDIENTE">
      <formula>NOT(ISERROR(SEARCH("PENDIENTE",AH89)))</formula>
    </cfRule>
    <cfRule type="containsText" dxfId="1648" priority="1831" operator="containsText" text="PENDIENTE">
      <formula>NOT(ISERROR(SEARCH("PENDIENTE",#REF!)))</formula>
    </cfRule>
  </conditionalFormatting>
  <conditionalFormatting sqref="AH90">
    <cfRule type="containsText" dxfId="1647" priority="1168" operator="containsText" text="PENDIENTE">
      <formula>NOT(ISERROR(SEARCH("PENDIENTE",AH90)))</formula>
    </cfRule>
    <cfRule type="containsText" dxfId="1646" priority="1169" operator="containsText" text="PENDIENTE">
      <formula>NOT(ISERROR(SEARCH("PENDIENTE",#REF!)))</formula>
    </cfRule>
    <cfRule type="containsText" dxfId="1645" priority="1170" operator="containsText" text="ENTREGADO">
      <formula>NOT(ISERROR(SEARCH("ENTREGADO",AH90)))</formula>
    </cfRule>
    <cfRule type="containsText" dxfId="1644" priority="1172" operator="containsText" text="ENTREGADO">
      <formula>NOT(ISERROR(SEARCH("ENTREGADO",AH90)))</formula>
    </cfRule>
    <cfRule type="containsText" dxfId="1643" priority="1173" operator="containsText" text="ENTREGADO">
      <formula>NOT(ISERROR(SEARCH("ENTREGADO",#REF!)))</formula>
    </cfRule>
    <cfRule type="containsText" dxfId="1642" priority="1178" operator="containsText" text="ENTREGADO">
      <formula>NOT(ISERROR(SEARCH("ENTREGADO",#REF!)))</formula>
    </cfRule>
    <cfRule type="containsText" dxfId="1641" priority="1179" operator="containsText" text="PENDIENTE">
      <formula>NOT(ISERROR(SEARCH("PENDIENTE",AH90)))</formula>
    </cfRule>
    <cfRule type="containsText" dxfId="1640" priority="1175" operator="containsText" text="PENDIENTE">
      <formula>NOT(ISERROR(SEARCH("PENDIENTE",#REF!)))</formula>
    </cfRule>
    <cfRule type="containsText" dxfId="1639" priority="1174" operator="containsText" text="ENTREGADO">
      <formula>NOT(ISERROR(SEARCH("ENTREGADO",AH90)))</formula>
    </cfRule>
    <cfRule type="containsText" dxfId="1638" priority="1145" operator="containsText" text="ENTREGADO">
      <formula>NOT(ISERROR(SEARCH("ENTREGADO",AH90)))</formula>
    </cfRule>
    <cfRule type="containsText" dxfId="1637" priority="1176" operator="containsText" text="PENDIENTE">
      <formula>NOT(ISERROR(SEARCH("PENDIENTE",AH90)))</formula>
    </cfRule>
    <cfRule type="containsText" dxfId="1636" priority="1177" operator="containsText" text="ENTREGADO">
      <formula>NOT(ISERROR(SEARCH("ENTREGADO",AH90)))</formula>
    </cfRule>
  </conditionalFormatting>
  <conditionalFormatting sqref="AH91">
    <cfRule type="containsText" dxfId="1635" priority="972" operator="containsText" text="ENTREGADO">
      <formula>NOT(ISERROR(SEARCH("ENTREGADO",AH91)))</formula>
    </cfRule>
    <cfRule type="containsText" dxfId="1634" priority="995" operator="containsText" text="PENDIENTE">
      <formula>NOT(ISERROR(SEARCH("PENDIENTE",AH91)))</formula>
    </cfRule>
    <cfRule type="containsText" dxfId="1633" priority="996" operator="containsText" text="PENDIENTE">
      <formula>NOT(ISERROR(SEARCH("PENDIENTE",#REF!)))</formula>
    </cfRule>
    <cfRule type="containsText" dxfId="1632" priority="997" operator="containsText" text="ENTREGADO">
      <formula>NOT(ISERROR(SEARCH("ENTREGADO",AH91)))</formula>
    </cfRule>
    <cfRule type="containsText" dxfId="1631" priority="1006" operator="containsText" text="PENDIENTE">
      <formula>NOT(ISERROR(SEARCH("PENDIENTE",AH91)))</formula>
    </cfRule>
    <cfRule type="containsText" dxfId="1630" priority="1005" operator="containsText" text="ENTREGADO">
      <formula>NOT(ISERROR(SEARCH("ENTREGADO",#REF!)))</formula>
    </cfRule>
    <cfRule type="containsText" dxfId="1629" priority="999" operator="containsText" text="ENTREGADO">
      <formula>NOT(ISERROR(SEARCH("ENTREGADO",AH91)))</formula>
    </cfRule>
    <cfRule type="containsText" dxfId="1628" priority="1004" operator="containsText" text="ENTREGADO">
      <formula>NOT(ISERROR(SEARCH("ENTREGADO",AH91)))</formula>
    </cfRule>
    <cfRule type="containsText" dxfId="1627" priority="1003" operator="containsText" text="PENDIENTE">
      <formula>NOT(ISERROR(SEARCH("PENDIENTE",AH91)))</formula>
    </cfRule>
    <cfRule type="containsText" dxfId="1626" priority="1002" operator="containsText" text="PENDIENTE">
      <formula>NOT(ISERROR(SEARCH("PENDIENTE",#REF!)))</formula>
    </cfRule>
    <cfRule type="containsText" dxfId="1625" priority="1001" operator="containsText" text="ENTREGADO">
      <formula>NOT(ISERROR(SEARCH("ENTREGADO",AH91)))</formula>
    </cfRule>
    <cfRule type="containsText" dxfId="1624" priority="1000" operator="containsText" text="ENTREGADO">
      <formula>NOT(ISERROR(SEARCH("ENTREGADO",#REF!)))</formula>
    </cfRule>
  </conditionalFormatting>
  <conditionalFormatting sqref="AH92">
    <cfRule type="containsText" dxfId="1623" priority="854" operator="containsText" text="PENDIENTE">
      <formula>NOT(ISERROR(SEARCH("PENDIENTE",AH92)))</formula>
    </cfRule>
    <cfRule type="containsText" dxfId="1622" priority="831" operator="containsText" text="ENTREGADO">
      <formula>NOT(ISERROR(SEARCH("ENTREGADO",AH92)))</formula>
    </cfRule>
    <cfRule type="containsText" dxfId="1621" priority="865" operator="containsText" text="PENDIENTE">
      <formula>NOT(ISERROR(SEARCH("PENDIENTE",AH92)))</formula>
    </cfRule>
    <cfRule type="containsText" dxfId="1620" priority="864" operator="containsText" text="ENTREGADO">
      <formula>NOT(ISERROR(SEARCH("ENTREGADO",#REF!)))</formula>
    </cfRule>
    <cfRule type="containsText" dxfId="1619" priority="863" operator="containsText" text="ENTREGADO">
      <formula>NOT(ISERROR(SEARCH("ENTREGADO",AH92)))</formula>
    </cfRule>
    <cfRule type="containsText" dxfId="1618" priority="862" operator="containsText" text="PENDIENTE">
      <formula>NOT(ISERROR(SEARCH("PENDIENTE",AH92)))</formula>
    </cfRule>
    <cfRule type="containsText" dxfId="1617" priority="861" operator="containsText" text="PENDIENTE">
      <formula>NOT(ISERROR(SEARCH("PENDIENTE",#REF!)))</formula>
    </cfRule>
    <cfRule type="containsText" dxfId="1616" priority="860" operator="containsText" text="ENTREGADO">
      <formula>NOT(ISERROR(SEARCH("ENTREGADO",AH92)))</formula>
    </cfRule>
    <cfRule type="containsText" dxfId="1615" priority="859" operator="containsText" text="ENTREGADO">
      <formula>NOT(ISERROR(SEARCH("ENTREGADO",#REF!)))</formula>
    </cfRule>
    <cfRule type="containsText" dxfId="1614" priority="858" operator="containsText" text="ENTREGADO">
      <formula>NOT(ISERROR(SEARCH("ENTREGADO",AH92)))</formula>
    </cfRule>
    <cfRule type="containsText" dxfId="1613" priority="856" operator="containsText" text="ENTREGADO">
      <formula>NOT(ISERROR(SEARCH("ENTREGADO",AH92)))</formula>
    </cfRule>
    <cfRule type="containsText" dxfId="1612" priority="855" operator="containsText" text="PENDIENTE">
      <formula>NOT(ISERROR(SEARCH("PENDIENTE",#REF!)))</formula>
    </cfRule>
  </conditionalFormatting>
  <conditionalFormatting sqref="AH4:AI4">
    <cfRule type="containsText" dxfId="1611" priority="18817" operator="containsText" text="ENTREGADO">
      <formula>NOT(ISERROR(SEARCH("ENTREGADO",AH4)))</formula>
    </cfRule>
  </conditionalFormatting>
  <conditionalFormatting sqref="AH4:AJ4">
    <cfRule type="containsText" dxfId="1610" priority="18652" operator="containsText" text="PENDIENTE">
      <formula>NOT(ISERROR(SEARCH("PENDIENTE",AH4)))</formula>
    </cfRule>
    <cfRule type="containsText" dxfId="1609" priority="18648" operator="containsText" text="ENTREGADO">
      <formula>NOT(ISERROR(SEARCH("ENTREGADO",AH4)))</formula>
    </cfRule>
  </conditionalFormatting>
  <conditionalFormatting sqref="AH45:AL45 AH50:AL50 AH62:AL69 AH71:AH74">
    <cfRule type="containsText" dxfId="1608" priority="6030" operator="containsText" text="PRIORIDAD">
      <formula>NOT(ISERROR(SEARCH("PRIORIDAD",AH45)))</formula>
    </cfRule>
  </conditionalFormatting>
  <conditionalFormatting sqref="AH46:AL49">
    <cfRule type="containsText" dxfId="1607" priority="4330" operator="containsText" text="PRIORIDAD">
      <formula>NOT(ISERROR(SEARCH("PRIORIDAD",AH46)))</formula>
    </cfRule>
  </conditionalFormatting>
  <conditionalFormatting sqref="AH59:AL59">
    <cfRule type="containsText" dxfId="1606" priority="3455" operator="containsText" text="PRIORIDAD">
      <formula>NOT(ISERROR(SEARCH("PRIORIDAD",AH59)))</formula>
    </cfRule>
  </conditionalFormatting>
  <conditionalFormatting sqref="AH60:AL60">
    <cfRule type="containsText" dxfId="1605" priority="4622" operator="containsText" text="PRIORIDAD">
      <formula>NOT(ISERROR(SEARCH("PRIORIDAD",AH60)))</formula>
    </cfRule>
  </conditionalFormatting>
  <conditionalFormatting sqref="AH61:AL61">
    <cfRule type="containsText" dxfId="1604" priority="4483" operator="containsText" text="PRIORIDAD">
      <formula>NOT(ISERROR(SEARCH("PRIORIDAD",AH61)))</formula>
    </cfRule>
  </conditionalFormatting>
  <conditionalFormatting sqref="AH75:AL75">
    <cfRule type="containsText" dxfId="1603" priority="4761" operator="containsText" text="PRIORIDAD">
      <formula>NOT(ISERROR(SEARCH("PRIORIDAD",AH75)))</formula>
    </cfRule>
  </conditionalFormatting>
  <conditionalFormatting sqref="AH76:AL76 AH80:AL81 AH83:AL84">
    <cfRule type="containsText" dxfId="1602" priority="2879" operator="containsText" text="PRIORIDAD">
      <formula>NOT(ISERROR(SEARCH("PRIORIDAD",AH76)))</formula>
    </cfRule>
  </conditionalFormatting>
  <conditionalFormatting sqref="AH79:AL79">
    <cfRule type="containsText" dxfId="1601" priority="1479" operator="containsText" text="PRIORIDAD">
      <formula>NOT(ISERROR(SEARCH("PRIORIDAD",AH79)))</formula>
    </cfRule>
  </conditionalFormatting>
  <conditionalFormatting sqref="AH82:AL82">
    <cfRule type="containsText" dxfId="1600" priority="1334" operator="containsText" text="PRIORIDAD">
      <formula>NOT(ISERROR(SEARCH("PRIORIDAD",AH82)))</formula>
    </cfRule>
  </conditionalFormatting>
  <conditionalFormatting sqref="AH85:AL85">
    <cfRule type="containsText" dxfId="1599" priority="2621" operator="containsText" text="PRIORIDAD">
      <formula>NOT(ISERROR(SEARCH("PRIORIDAD",AH85)))</formula>
    </cfRule>
  </conditionalFormatting>
  <conditionalFormatting sqref="AH86:AL86">
    <cfRule type="containsText" dxfId="1598" priority="2466" operator="containsText" text="PRIORIDAD">
      <formula>NOT(ISERROR(SEARCH("PRIORIDAD",AH86)))</formula>
    </cfRule>
  </conditionalFormatting>
  <conditionalFormatting sqref="AH87:AL87">
    <cfRule type="containsText" dxfId="1597" priority="2337" operator="containsText" text="PRIORIDAD">
      <formula>NOT(ISERROR(SEARCH("PRIORIDAD",AH87)))</formula>
    </cfRule>
  </conditionalFormatting>
  <conditionalFormatting sqref="AH88:AL88">
    <cfRule type="containsText" dxfId="1596" priority="2208" operator="containsText" text="PRIORIDAD">
      <formula>NOT(ISERROR(SEARCH("PRIORIDAD",AH88)))</formula>
    </cfRule>
  </conditionalFormatting>
  <conditionalFormatting sqref="AH89:AL89">
    <cfRule type="containsText" dxfId="1595" priority="1827" operator="containsText" text="PRIORIDAD">
      <formula>NOT(ISERROR(SEARCH("PRIORIDAD",AH89)))</formula>
    </cfRule>
  </conditionalFormatting>
  <conditionalFormatting sqref="AH90:AL90">
    <cfRule type="containsText" dxfId="1594" priority="1171" operator="containsText" text="PRIORIDAD">
      <formula>NOT(ISERROR(SEARCH("PRIORIDAD",AH90)))</formula>
    </cfRule>
  </conditionalFormatting>
  <conditionalFormatting sqref="AH91:AL91">
    <cfRule type="containsText" dxfId="1593" priority="998" operator="containsText" text="PRIORIDAD">
      <formula>NOT(ISERROR(SEARCH("PRIORIDAD",AH91)))</formula>
    </cfRule>
  </conditionalFormatting>
  <conditionalFormatting sqref="AH92:AL92">
    <cfRule type="containsText" dxfId="1592" priority="857" operator="containsText" text="PRIORIDAD">
      <formula>NOT(ISERROR(SEARCH("PRIORIDAD",AH92)))</formula>
    </cfRule>
  </conditionalFormatting>
  <conditionalFormatting sqref="AI4">
    <cfRule type="containsText" dxfId="1591" priority="18798" operator="containsText" text="ENTREGADO">
      <formula>NOT(ISERROR(SEARCH("ENTREGADO",AI4)))</formula>
    </cfRule>
    <cfRule type="containsText" dxfId="1590" priority="18815" operator="containsText" text="PENDIENTE">
      <formula>NOT(ISERROR(SEARCH("PENDIENTE",#REF!)))</formula>
    </cfRule>
    <cfRule type="containsText" dxfId="1589" priority="18816" operator="containsText" text="PENDIENTE">
      <formula>NOT(ISERROR(SEARCH("PENDIENTE",AI4)))</formula>
    </cfRule>
  </conditionalFormatting>
  <conditionalFormatting sqref="AI27:AI28">
    <cfRule type="containsText" dxfId="1588" priority="12335" operator="containsText" text="PENDIENTE">
      <formula>NOT(ISERROR(SEARCH("PENDIENTE",#REF!)))</formula>
    </cfRule>
  </conditionalFormatting>
  <conditionalFormatting sqref="AI27:AI30">
    <cfRule type="containsText" dxfId="1587" priority="12336" operator="containsText" text="PENDIENTE">
      <formula>NOT(ISERROR(SEARCH("PENDIENTE",AI27)))</formula>
    </cfRule>
    <cfRule type="containsText" dxfId="1586" priority="12318" operator="containsText" text="ENTREGADO">
      <formula>NOT(ISERROR(SEARCH("ENTREGADO",AI27)))</formula>
    </cfRule>
  </conditionalFormatting>
  <conditionalFormatting sqref="AI29">
    <cfRule type="containsText" dxfId="1585" priority="20616" operator="containsText" text="PENDIENTE">
      <formula>NOT(ISERROR(SEARCH("PENDIENTE",#REF!)))</formula>
    </cfRule>
  </conditionalFormatting>
  <conditionalFormatting sqref="AI30">
    <cfRule type="containsText" dxfId="1584" priority="19031" operator="containsText" text="PENDIENTE">
      <formula>NOT(ISERROR(SEARCH("PENDIENTE",#REF!)))</formula>
    </cfRule>
  </conditionalFormatting>
  <conditionalFormatting sqref="AI32 AI34">
    <cfRule type="containsText" dxfId="1583" priority="19895" operator="containsText" text="ENTREGADO">
      <formula>NOT(ISERROR(SEARCH("ENTREGADO",AI32)))</formula>
    </cfRule>
    <cfRule type="containsText" dxfId="1582" priority="19913" operator="containsText" text="PENDIENTE">
      <formula>NOT(ISERROR(SEARCH("PENDIENTE",AI32)))</formula>
    </cfRule>
  </conditionalFormatting>
  <conditionalFormatting sqref="AI32">
    <cfRule type="containsText" dxfId="1581" priority="19912" operator="containsText" text="PENDIENTE">
      <formula>NOT(ISERROR(SEARCH("PENDIENTE",#REF!)))</formula>
    </cfRule>
  </conditionalFormatting>
  <conditionalFormatting sqref="AI34">
    <cfRule type="containsText" dxfId="1580" priority="20264" operator="containsText" text="PENDIENTE">
      <formula>NOT(ISERROR(SEARCH("PENDIENTE",#REF!)))</formula>
    </cfRule>
  </conditionalFormatting>
  <conditionalFormatting sqref="AI39">
    <cfRule type="containsText" dxfId="1579" priority="4252" operator="containsText" text="PENDIENTE">
      <formula>NOT(ISERROR(SEARCH("PENDIENTE",AI39)))</formula>
    </cfRule>
    <cfRule type="containsText" dxfId="1578" priority="4236" operator="containsText" text="ENTREGADO">
      <formula>NOT(ISERROR(SEARCH("ENTREGADO",AI39)))</formula>
    </cfRule>
    <cfRule type="containsText" dxfId="1577" priority="4251" operator="containsText" text="PENDIENTE">
      <formula>NOT(ISERROR(SEARCH("PENDIENTE",#REF!)))</formula>
    </cfRule>
  </conditionalFormatting>
  <conditionalFormatting sqref="AI40">
    <cfRule type="containsText" dxfId="1576" priority="7270" operator="containsText" text="PENDIENTE">
      <formula>NOT(ISERROR(SEARCH("PENDIENTE",#REF!)))</formula>
    </cfRule>
    <cfRule type="containsText" dxfId="1575" priority="7271" operator="containsText" text="PENDIENTE">
      <formula>NOT(ISERROR(SEARCH("PENDIENTE",AI40)))</formula>
    </cfRule>
    <cfRule type="containsText" dxfId="1574" priority="7253" operator="containsText" text="ENTREGADO">
      <formula>NOT(ISERROR(SEARCH("ENTREGADO",AI40)))</formula>
    </cfRule>
  </conditionalFormatting>
  <conditionalFormatting sqref="AI41">
    <cfRule type="containsText" dxfId="1573" priority="3886" operator="containsText" text="PENDIENTE">
      <formula>NOT(ISERROR(SEARCH("PENDIENTE",#REF!)))</formula>
    </cfRule>
    <cfRule type="containsText" dxfId="1572" priority="3788" operator="containsText" text="ENTREGADO">
      <formula>NOT(ISERROR(SEARCH("ENTREGADO",AI41)))</formula>
    </cfRule>
    <cfRule type="containsText" dxfId="1571" priority="3791" operator="containsText" text="PENDIENTE">
      <formula>NOT(ISERROR(SEARCH("PENDIENTE",AI41)))</formula>
    </cfRule>
  </conditionalFormatting>
  <conditionalFormatting sqref="AI77">
    <cfRule type="containsText" dxfId="1570" priority="2097" operator="containsText" text="PENDIENTE">
      <formula>NOT(ISERROR(SEARCH("PENDIENTE",AI77)))</formula>
    </cfRule>
    <cfRule type="containsText" dxfId="1569" priority="2136" operator="containsText" text="PENDIENTE">
      <formula>NOT(ISERROR(SEARCH("PENDIENTE",#REF!)))</formula>
    </cfRule>
    <cfRule type="containsText" dxfId="1568" priority="2094" operator="containsText" text="ENTREGADO">
      <formula>NOT(ISERROR(SEARCH("ENTREGADO",AI77)))</formula>
    </cfRule>
  </conditionalFormatting>
  <conditionalFormatting sqref="AI27:AL27 AN27:AO27 AR27:BA27 AD27:AG30 AI28:AO28 AR28:AW28 AI29:AL30 AN29:AO30 AR29:BA30 AD32:AG32 AI32:AL32 AN32:AO32 AR32:BA32 AD34:AG34 AI34:AL34 AN34:AO34 AR34:BA34 AD40:AG40 AI40:AL40 AN40:AO40 AR40:BA40 A2:P2">
    <cfRule type="containsText" dxfId="1567" priority="27216" operator="containsText" text="ENTREGADO">
      <formula>NOT(ISERROR(SEARCH("ENTREGADO",A2)))</formula>
    </cfRule>
  </conditionalFormatting>
  <conditionalFormatting sqref="AI39:AL39 AN39:AO39 AR39:BA39 AD39:AG39">
    <cfRule type="containsText" dxfId="1566" priority="4289" operator="containsText" text="PENDIENTE">
      <formula>NOT(ISERROR(SEARCH("PENDIENTE",#REF!)))</formula>
    </cfRule>
    <cfRule type="containsText" dxfId="1565" priority="4297" operator="containsText" text="ENTREGADO">
      <formula>NOT(ISERROR(SEARCH("ENTREGADO",AD39)))</formula>
    </cfRule>
    <cfRule type="containsText" dxfId="1564" priority="4296" operator="containsText" text="PENDIENTE">
      <formula>NOT(ISERROR(SEARCH("PENDIENTE",AD39)))</formula>
    </cfRule>
    <cfRule type="containsText" dxfId="1563" priority="4295" operator="containsText" text="ENTREGADO">
      <formula>NOT(ISERROR(SEARCH("ENTREGADO",AD39)))</formula>
    </cfRule>
    <cfRule type="containsText" dxfId="1562" priority="4294" operator="containsText" text="PENDIENTE">
      <formula>NOT(ISERROR(SEARCH("PENDIENTE",AD39)))</formula>
    </cfRule>
  </conditionalFormatting>
  <conditionalFormatting sqref="AI39:AL39 AN39:AO39 AR39:BC39 AD39:AG39">
    <cfRule type="containsText" dxfId="1561" priority="4290" operator="containsText" text="PENDIENTE">
      <formula>NOT(ISERROR(SEARCH("PENDIENTE",AD39)))</formula>
    </cfRule>
  </conditionalFormatting>
  <conditionalFormatting sqref="AI70:AL74">
    <cfRule type="containsText" dxfId="1560" priority="5783" operator="containsText" text="PRIORIDAD">
      <formula>NOT(ISERROR(SEARCH("PRIORIDAD",AI70)))</formula>
    </cfRule>
  </conditionalFormatting>
  <conditionalFormatting sqref="AI73:AL74 AN73:AO74 K74:N74 AD74:AF74 AR74:BA74">
    <cfRule type="containsText" dxfId="1559" priority="6523" operator="containsText" text="ENTREGADO">
      <formula>NOT(ISERROR(SEARCH("ENTREGADO",K73)))</formula>
    </cfRule>
  </conditionalFormatting>
  <conditionalFormatting sqref="AJ4">
    <cfRule type="containsText" dxfId="1558" priority="18643" operator="containsText" text="ENTREGADO">
      <formula>NOT(ISERROR(SEARCH("ENTREGADO",AJ4)))</formula>
    </cfRule>
    <cfRule type="containsText" dxfId="1557" priority="18644" operator="containsText" text="ENTREGADO">
      <formula>NOT(ISERROR(SEARCH("ENTREGADO",AJ4)))</formula>
    </cfRule>
    <cfRule type="containsText" dxfId="1556" priority="18645" operator="containsText" text="PENDIENTE">
      <formula>NOT(ISERROR(SEARCH("PENDIENTE",#REF!)))</formula>
    </cfRule>
    <cfRule type="containsText" dxfId="1555" priority="18651" operator="containsText" text="PRIORIDAD">
      <formula>NOT(ISERROR(SEARCH("PRIORIDAD",AJ4)))</formula>
    </cfRule>
    <cfRule type="containsText" dxfId="1554" priority="18650" operator="containsText" text="PENDIENTE">
      <formula>NOT(ISERROR(SEARCH("PENDIENTE",AJ4)))</formula>
    </cfRule>
    <cfRule type="containsText" dxfId="1553" priority="18642" operator="containsText" text="ENTREGADO">
      <formula>NOT(ISERROR(SEARCH("ENTREGADO",#REF!)))</formula>
    </cfRule>
    <cfRule type="containsText" dxfId="1552" priority="18647" operator="containsText" text="ENTREGADO">
      <formula>NOT(ISERROR(SEARCH("ENTREGADO",#REF!)))</formula>
    </cfRule>
    <cfRule type="containsText" dxfId="1551" priority="18646" operator="containsText" text="PENDIENTE">
      <formula>NOT(ISERROR(SEARCH("PENDIENTE",AJ4)))</formula>
    </cfRule>
    <cfRule type="containsText" dxfId="1550" priority="18649" operator="containsText" text="PENDIENTE">
      <formula>NOT(ISERROR(SEARCH("PENDIENTE",#REF!)))</formula>
    </cfRule>
  </conditionalFormatting>
  <conditionalFormatting sqref="AK24">
    <cfRule type="containsText" dxfId="1549" priority="324" operator="containsText" text="ENTREGADO">
      <formula>NOT(ISERROR(SEARCH("ENTREGADO",AK24)))</formula>
    </cfRule>
    <cfRule type="containsText" dxfId="1548" priority="323" operator="containsText" text="PRIORIDAD">
      <formula>NOT(ISERROR(SEARCH("PRIORIDAD",AK24)))</formula>
    </cfRule>
    <cfRule type="containsText" dxfId="1547" priority="328" operator="containsText" text="ENTREGADO">
      <formula>NOT(ISERROR(SEARCH("ENTREGADO",AK24)))</formula>
    </cfRule>
    <cfRule type="containsText" dxfId="1546" priority="329" operator="containsText" text="PENDIENTE">
      <formula>NOT(ISERROR(SEARCH("PENDIENTE",#REF!)))</formula>
    </cfRule>
    <cfRule type="containsText" dxfId="1545" priority="327" operator="containsText" text="PENDIENTE">
      <formula>NOT(ISERROR(SEARCH("PENDIENTE",AK24)))</formula>
    </cfRule>
    <cfRule type="containsText" dxfId="1544" priority="326" operator="containsText" text="ENTREGADO">
      <formula>NOT(ISERROR(SEARCH("ENTREGADO",#REF!)))</formula>
    </cfRule>
    <cfRule type="containsText" dxfId="1543" priority="325" operator="containsText" text="ENTREGADO">
      <formula>NOT(ISERROR(SEARCH("ENTREGADO",AK24)))</formula>
    </cfRule>
  </conditionalFormatting>
  <conditionalFormatting sqref="AK4:AL4 O62:P62 AN4:BA4 C57:D57">
    <cfRule type="containsText" dxfId="1542" priority="27200" operator="containsText" text="PENDIENTE">
      <formula>NOT(ISERROR(SEARCH("PENDIENTE",C4)))</formula>
    </cfRule>
  </conditionalFormatting>
  <conditionalFormatting sqref="AK4:AL4 AN4:BA4 C57:D57 O62:P62">
    <cfRule type="containsText" dxfId="1541" priority="27201" operator="containsText" text="ENTREGADO">
      <formula>NOT(ISERROR(SEARCH("ENTREGADO",C4)))</formula>
    </cfRule>
  </conditionalFormatting>
  <conditionalFormatting sqref="AK4:AL4 AN4:BA4">
    <cfRule type="containsText" dxfId="1540" priority="25515" operator="containsText" text="ENTREGADO">
      <formula>NOT(ISERROR(SEARCH("ENTREGADO",#REF!)))</formula>
    </cfRule>
    <cfRule type="containsText" dxfId="1539" priority="25514" operator="containsText" text="ENTREGADO">
      <formula>NOT(ISERROR(SEARCH("ENTREGADO",#REF!)))</formula>
    </cfRule>
  </conditionalFormatting>
  <conditionalFormatting sqref="AL24">
    <cfRule type="containsText" dxfId="1538" priority="318" operator="containsText" text="ENTREGADO">
      <formula>NOT(ISERROR(SEARCH("ENTREGADO",AL24)))</formula>
    </cfRule>
    <cfRule type="containsText" dxfId="1537" priority="319" operator="containsText" text="ENTREGADO">
      <formula>NOT(ISERROR(SEARCH("ENTREGADO",#REF!)))</formula>
    </cfRule>
    <cfRule type="containsText" dxfId="1536" priority="317" operator="containsText" text="ENTREGADO">
      <formula>NOT(ISERROR(SEARCH("ENTREGADO",AL24)))</formula>
    </cfRule>
    <cfRule type="containsText" dxfId="1535" priority="316" operator="containsText" text="PRIORIDAD">
      <formula>NOT(ISERROR(SEARCH("PRIORIDAD",AL24)))</formula>
    </cfRule>
    <cfRule type="containsText" dxfId="1534" priority="320" operator="containsText" text="PENDIENTE">
      <formula>NOT(ISERROR(SEARCH("PENDIENTE",AL24)))</formula>
    </cfRule>
    <cfRule type="containsText" dxfId="1533" priority="321" operator="containsText" text="ENTREGADO">
      <formula>NOT(ISERROR(SEARCH("ENTREGADO",AL24)))</formula>
    </cfRule>
    <cfRule type="containsText" dxfId="1532" priority="322" operator="containsText" text="PENDIENTE">
      <formula>NOT(ISERROR(SEARCH("PENDIENTE",#REF!)))</formula>
    </cfRule>
  </conditionalFormatting>
  <conditionalFormatting sqref="AM3:AM27">
    <cfRule type="containsText" dxfId="1531" priority="6002" operator="containsText" text="PENDIENTE">
      <formula>NOT(ISERROR(SEARCH("PENDIENTE",AM3)))</formula>
    </cfRule>
    <cfRule type="containsText" dxfId="1530" priority="6001" operator="containsText" text="ENTREGADO">
      <formula>NOT(ISERROR(SEARCH("ENTREGADO",AM3)))</formula>
    </cfRule>
    <cfRule type="containsText" dxfId="1529" priority="6000" operator="containsText" text="ENTREGADO">
      <formula>NOT(ISERROR(SEARCH("ENTREGADO",AM3)))</formula>
    </cfRule>
    <cfRule type="containsText" dxfId="1528" priority="5998" operator="containsText" text="ENTREGADO">
      <formula>NOT(ISERROR(SEARCH("ENTREGADO",#REF!)))</formula>
    </cfRule>
    <cfRule type="containsText" dxfId="1527" priority="5999" operator="containsText" text="PENDIENTE">
      <formula>NOT(ISERROR(SEARCH("PENDIENTE",#REF!)))</formula>
    </cfRule>
    <cfRule type="containsText" dxfId="1526" priority="6004" operator="containsText" text="ENTREGADO">
      <formula>NOT(ISERROR(SEARCH("ENTREGADO",AM3)))</formula>
    </cfRule>
    <cfRule type="containsText" dxfId="1525" priority="6003" operator="containsText" text="PRIORIDAD">
      <formula>NOT(ISERROR(SEARCH("PRIORIDAD",AM3)))</formula>
    </cfRule>
  </conditionalFormatting>
  <conditionalFormatting sqref="AM29:AM32 AM34:AM35">
    <cfRule type="containsText" dxfId="1524" priority="5997" operator="containsText" text="ENTREGADO">
      <formula>NOT(ISERROR(SEARCH("ENTREGADO",AM29)))</formula>
    </cfRule>
    <cfRule type="containsText" dxfId="1523" priority="5991" operator="containsText" text="ENTREGADO">
      <formula>NOT(ISERROR(SEARCH("ENTREGADO",#REF!)))</formula>
    </cfRule>
    <cfRule type="containsText" dxfId="1522" priority="5992" operator="containsText" text="PENDIENTE">
      <formula>NOT(ISERROR(SEARCH("PENDIENTE",#REF!)))</formula>
    </cfRule>
    <cfRule type="containsText" dxfId="1521" priority="5993" operator="containsText" text="ENTREGADO">
      <formula>NOT(ISERROR(SEARCH("ENTREGADO",AM29)))</formula>
    </cfRule>
    <cfRule type="containsText" dxfId="1520" priority="5994" operator="containsText" text="ENTREGADO">
      <formula>NOT(ISERROR(SEARCH("ENTREGADO",AM29)))</formula>
    </cfRule>
    <cfRule type="containsText" dxfId="1519" priority="5995" operator="containsText" text="PENDIENTE">
      <formula>NOT(ISERROR(SEARCH("PENDIENTE",AM29)))</formula>
    </cfRule>
    <cfRule type="containsText" dxfId="1518" priority="5996" operator="containsText" text="PRIORIDAD">
      <formula>NOT(ISERROR(SEARCH("PRIORIDAD",AM29)))</formula>
    </cfRule>
  </conditionalFormatting>
  <conditionalFormatting sqref="AM33">
    <cfRule type="containsText" dxfId="1517" priority="5872" operator="containsText" text="PENDIENTE">
      <formula>NOT(ISERROR(SEARCH("PENDIENTE",AM33)))</formula>
    </cfRule>
    <cfRule type="containsText" dxfId="1516" priority="5871" operator="containsText" text="ENTREGADO">
      <formula>NOT(ISERROR(SEARCH("ENTREGADO",AM33)))</formula>
    </cfRule>
    <cfRule type="containsText" dxfId="1515" priority="5870" operator="containsText" text="ENTREGADO">
      <formula>NOT(ISERROR(SEARCH("ENTREGADO",AM33)))</formula>
    </cfRule>
    <cfRule type="containsText" dxfId="1514" priority="5868" operator="containsText" text="ENTREGADO">
      <formula>NOT(ISERROR(SEARCH("ENTREGADO",#REF!)))</formula>
    </cfRule>
    <cfRule type="containsText" dxfId="1513" priority="5869" operator="containsText" text="PENDIENTE">
      <formula>NOT(ISERROR(SEARCH("PENDIENTE",#REF!)))</formula>
    </cfRule>
    <cfRule type="containsText" dxfId="1512" priority="5874" operator="containsText" text="ENTREGADO">
      <formula>NOT(ISERROR(SEARCH("ENTREGADO",AM33)))</formula>
    </cfRule>
    <cfRule type="containsText" dxfId="1511" priority="5873" operator="containsText" text="PRIORIDAD">
      <formula>NOT(ISERROR(SEARCH("PRIORIDAD",AM33)))</formula>
    </cfRule>
  </conditionalFormatting>
  <conditionalFormatting sqref="AM37:AM38 AM40 AM42:AM45 AM50 AM62:AM69 AM71:AM74">
    <cfRule type="containsText" dxfId="1510" priority="5989" operator="containsText" text="PRIORIDAD">
      <formula>NOT(ISERROR(SEARCH("PRIORIDAD",AM37)))</formula>
    </cfRule>
  </conditionalFormatting>
  <conditionalFormatting sqref="AM37:AM38 AM71:AM74 AM50 AM40 AM42:AM45 AM62:AM69">
    <cfRule type="containsText" dxfId="1509" priority="5990" operator="containsText" text="ENTREGADO">
      <formula>NOT(ISERROR(SEARCH("ENTREGADO",AM37)))</formula>
    </cfRule>
    <cfRule type="containsText" dxfId="1508" priority="5988" operator="containsText" text="PENDIENTE">
      <formula>NOT(ISERROR(SEARCH("PENDIENTE",AM37)))</formula>
    </cfRule>
    <cfRule type="containsText" dxfId="1507" priority="5987" operator="containsText" text="ENTREGADO">
      <formula>NOT(ISERROR(SEARCH("ENTREGADO",AM37)))</formula>
    </cfRule>
    <cfRule type="containsText" dxfId="1506" priority="5984" operator="containsText" text="ENTREGADO">
      <formula>NOT(ISERROR(SEARCH("ENTREGADO",#REF!)))</formula>
    </cfRule>
    <cfRule type="containsText" dxfId="1505" priority="5985" operator="containsText" text="PENDIENTE">
      <formula>NOT(ISERROR(SEARCH("PENDIENTE",#REF!)))</formula>
    </cfRule>
    <cfRule type="containsText" dxfId="1504" priority="5986" operator="containsText" text="ENTREGADO">
      <formula>NOT(ISERROR(SEARCH("ENTREGADO",AM37)))</formula>
    </cfRule>
  </conditionalFormatting>
  <conditionalFormatting sqref="AM39">
    <cfRule type="containsText" dxfId="1503" priority="4014" operator="containsText" text="ENTREGADO">
      <formula>NOT(ISERROR(SEARCH("ENTREGADO",AM39)))</formula>
    </cfRule>
    <cfRule type="containsText" dxfId="1502" priority="4008" operator="containsText" text="ENTREGADO">
      <formula>NOT(ISERROR(SEARCH("ENTREGADO",#REF!)))</formula>
    </cfRule>
    <cfRule type="containsText" dxfId="1501" priority="4009" operator="containsText" text="PENDIENTE">
      <formula>NOT(ISERROR(SEARCH("PENDIENTE",#REF!)))</formula>
    </cfRule>
    <cfRule type="containsText" dxfId="1500" priority="4010" operator="containsText" text="ENTREGADO">
      <formula>NOT(ISERROR(SEARCH("ENTREGADO",AM39)))</formula>
    </cfRule>
    <cfRule type="containsText" dxfId="1499" priority="4011" operator="containsText" text="ENTREGADO">
      <formula>NOT(ISERROR(SEARCH("ENTREGADO",AM39)))</formula>
    </cfRule>
    <cfRule type="containsText" dxfId="1498" priority="4012" operator="containsText" text="PENDIENTE">
      <formula>NOT(ISERROR(SEARCH("PENDIENTE",AM39)))</formula>
    </cfRule>
    <cfRule type="containsText" dxfId="1497" priority="4013" operator="containsText" text="PRIORIDAD">
      <formula>NOT(ISERROR(SEARCH("PRIORIDAD",AM39)))</formula>
    </cfRule>
  </conditionalFormatting>
  <conditionalFormatting sqref="AM41">
    <cfRule type="containsText" dxfId="1496" priority="3680" operator="containsText" text="ENTREGADO">
      <formula>NOT(ISERROR(SEARCH("ENTREGADO",AM41)))</formula>
    </cfRule>
    <cfRule type="containsText" dxfId="1495" priority="3679" operator="containsText" text="PRIORIDAD">
      <formula>NOT(ISERROR(SEARCH("PRIORIDAD",AM41)))</formula>
    </cfRule>
    <cfRule type="containsText" dxfId="1494" priority="3678" operator="containsText" text="PENDIENTE">
      <formula>NOT(ISERROR(SEARCH("PENDIENTE",AM41)))</formula>
    </cfRule>
    <cfRule type="containsText" dxfId="1493" priority="3677" operator="containsText" text="ENTREGADO">
      <formula>NOT(ISERROR(SEARCH("ENTREGADO",AM41)))</formula>
    </cfRule>
    <cfRule type="containsText" dxfId="1492" priority="3674" operator="containsText" text="ENTREGADO">
      <formula>NOT(ISERROR(SEARCH("ENTREGADO",#REF!)))</formula>
    </cfRule>
    <cfRule type="containsText" dxfId="1491" priority="3675" operator="containsText" text="PENDIENTE">
      <formula>NOT(ISERROR(SEARCH("PENDIENTE",#REF!)))</formula>
    </cfRule>
    <cfRule type="containsText" dxfId="1490" priority="3676" operator="containsText" text="ENTREGADO">
      <formula>NOT(ISERROR(SEARCH("ENTREGADO",AM41)))</formula>
    </cfRule>
  </conditionalFormatting>
  <conditionalFormatting sqref="AM46:AM49">
    <cfRule type="containsText" dxfId="1489" priority="4321" operator="containsText" text="ENTREGADO">
      <formula>NOT(ISERROR(SEARCH("ENTREGADO",#REF!)))</formula>
    </cfRule>
    <cfRule type="containsText" dxfId="1488" priority="4327" operator="containsText" text="ENTREGADO">
      <formula>NOT(ISERROR(SEARCH("ENTREGADO",AM46)))</formula>
    </cfRule>
    <cfRule type="containsText" dxfId="1487" priority="4322" operator="containsText" text="PENDIENTE">
      <formula>NOT(ISERROR(SEARCH("PENDIENTE",#REF!)))</formula>
    </cfRule>
    <cfRule type="containsText" dxfId="1486" priority="4323" operator="containsText" text="ENTREGADO">
      <formula>NOT(ISERROR(SEARCH("ENTREGADO",AM46)))</formula>
    </cfRule>
    <cfRule type="containsText" dxfId="1485" priority="4324" operator="containsText" text="ENTREGADO">
      <formula>NOT(ISERROR(SEARCH("ENTREGADO",AM46)))</formula>
    </cfRule>
    <cfRule type="containsText" dxfId="1484" priority="4325" operator="containsText" text="PENDIENTE">
      <formula>NOT(ISERROR(SEARCH("PENDIENTE",AM46)))</formula>
    </cfRule>
    <cfRule type="containsText" dxfId="1483" priority="4326" operator="containsText" text="PRIORIDAD">
      <formula>NOT(ISERROR(SEARCH("PRIORIDAD",AM46)))</formula>
    </cfRule>
  </conditionalFormatting>
  <conditionalFormatting sqref="AM55">
    <cfRule type="containsText" dxfId="1482" priority="550" operator="containsText" text="ENTREGADO">
      <formula>NOT(ISERROR(SEARCH("ENTREGADO",AM55)))</formula>
    </cfRule>
    <cfRule type="containsText" dxfId="1481" priority="551" operator="containsText" text="PENDIENTE">
      <formula>NOT(ISERROR(SEARCH("PENDIENTE",AM55)))</formula>
    </cfRule>
    <cfRule type="containsText" dxfId="1480" priority="552" operator="containsText" text="PRIORIDAD">
      <formula>NOT(ISERROR(SEARCH("PRIORIDAD",AM55)))</formula>
    </cfRule>
    <cfRule type="containsText" dxfId="1479" priority="553" operator="containsText" text="ENTREGADO">
      <formula>NOT(ISERROR(SEARCH("ENTREGADO",AM55)))</formula>
    </cfRule>
    <cfRule type="containsText" dxfId="1478" priority="547" operator="containsText" text="ENTREGADO">
      <formula>NOT(ISERROR(SEARCH("ENTREGADO",#REF!)))</formula>
    </cfRule>
    <cfRule type="containsText" dxfId="1477" priority="548" operator="containsText" text="PENDIENTE">
      <formula>NOT(ISERROR(SEARCH("PENDIENTE",#REF!)))</formula>
    </cfRule>
    <cfRule type="containsText" dxfId="1476" priority="549" operator="containsText" text="ENTREGADO">
      <formula>NOT(ISERROR(SEARCH("ENTREGADO",AM55)))</formula>
    </cfRule>
  </conditionalFormatting>
  <conditionalFormatting sqref="AM59">
    <cfRule type="containsText" dxfId="1475" priority="3449" operator="containsText" text="ENTREGADO">
      <formula>NOT(ISERROR(SEARCH("ENTREGADO",AM59)))</formula>
    </cfRule>
    <cfRule type="containsText" dxfId="1474" priority="3448" operator="containsText" text="ENTREGADO">
      <formula>NOT(ISERROR(SEARCH("ENTREGADO",AM59)))</formula>
    </cfRule>
    <cfRule type="containsText" dxfId="1473" priority="3447" operator="containsText" text="PENDIENTE">
      <formula>NOT(ISERROR(SEARCH("PENDIENTE",#REF!)))</formula>
    </cfRule>
    <cfRule type="containsText" dxfId="1472" priority="3446" operator="containsText" text="ENTREGADO">
      <formula>NOT(ISERROR(SEARCH("ENTREGADO",#REF!)))</formula>
    </cfRule>
    <cfRule type="containsText" dxfId="1471" priority="3452" operator="containsText" text="ENTREGADO">
      <formula>NOT(ISERROR(SEARCH("ENTREGADO",AM59)))</formula>
    </cfRule>
    <cfRule type="containsText" dxfId="1470" priority="3450" operator="containsText" text="PENDIENTE">
      <formula>NOT(ISERROR(SEARCH("PENDIENTE",AM59)))</formula>
    </cfRule>
    <cfRule type="containsText" dxfId="1469" priority="3451" operator="containsText" text="PRIORIDAD">
      <formula>NOT(ISERROR(SEARCH("PRIORIDAD",AM59)))</formula>
    </cfRule>
  </conditionalFormatting>
  <conditionalFormatting sqref="AM60">
    <cfRule type="containsText" dxfId="1468" priority="4614" operator="containsText" text="PENDIENTE">
      <formula>NOT(ISERROR(SEARCH("PENDIENTE",#REF!)))</formula>
    </cfRule>
    <cfRule type="containsText" dxfId="1467" priority="4613" operator="containsText" text="ENTREGADO">
      <formula>NOT(ISERROR(SEARCH("ENTREGADO",#REF!)))</formula>
    </cfRule>
    <cfRule type="containsText" dxfId="1466" priority="4618" operator="containsText" text="PRIORIDAD">
      <formula>NOT(ISERROR(SEARCH("PRIORIDAD",AM60)))</formula>
    </cfRule>
    <cfRule type="containsText" dxfId="1465" priority="4615" operator="containsText" text="ENTREGADO">
      <formula>NOT(ISERROR(SEARCH("ENTREGADO",AM60)))</formula>
    </cfRule>
    <cfRule type="containsText" dxfId="1464" priority="4616" operator="containsText" text="ENTREGADO">
      <formula>NOT(ISERROR(SEARCH("ENTREGADO",AM60)))</formula>
    </cfRule>
    <cfRule type="containsText" dxfId="1463" priority="4617" operator="containsText" text="PENDIENTE">
      <formula>NOT(ISERROR(SEARCH("PENDIENTE",AM60)))</formula>
    </cfRule>
    <cfRule type="containsText" dxfId="1462" priority="4619" operator="containsText" text="ENTREGADO">
      <formula>NOT(ISERROR(SEARCH("ENTREGADO",AM60)))</formula>
    </cfRule>
  </conditionalFormatting>
  <conditionalFormatting sqref="AM61">
    <cfRule type="containsText" dxfId="1461" priority="4474" operator="containsText" text="ENTREGADO">
      <formula>NOT(ISERROR(SEARCH("ENTREGADO",#REF!)))</formula>
    </cfRule>
    <cfRule type="containsText" dxfId="1460" priority="4480" operator="containsText" text="ENTREGADO">
      <formula>NOT(ISERROR(SEARCH("ENTREGADO",AM61)))</formula>
    </cfRule>
    <cfRule type="containsText" dxfId="1459" priority="4479" operator="containsText" text="PRIORIDAD">
      <formula>NOT(ISERROR(SEARCH("PRIORIDAD",AM61)))</formula>
    </cfRule>
    <cfRule type="containsText" dxfId="1458" priority="4478" operator="containsText" text="PENDIENTE">
      <formula>NOT(ISERROR(SEARCH("PENDIENTE",AM61)))</formula>
    </cfRule>
    <cfRule type="containsText" dxfId="1457" priority="4477" operator="containsText" text="ENTREGADO">
      <formula>NOT(ISERROR(SEARCH("ENTREGADO",AM61)))</formula>
    </cfRule>
    <cfRule type="containsText" dxfId="1456" priority="4476" operator="containsText" text="ENTREGADO">
      <formula>NOT(ISERROR(SEARCH("ENTREGADO",AM61)))</formula>
    </cfRule>
    <cfRule type="containsText" dxfId="1455" priority="4475" operator="containsText" text="PENDIENTE">
      <formula>NOT(ISERROR(SEARCH("PENDIENTE",#REF!)))</formula>
    </cfRule>
  </conditionalFormatting>
  <conditionalFormatting sqref="AM70">
    <cfRule type="containsText" dxfId="1454" priority="5739" operator="containsText" text="ENTREGADO">
      <formula>NOT(ISERROR(SEARCH("ENTREGADO",AM70)))</formula>
    </cfRule>
    <cfRule type="containsText" dxfId="1453" priority="5740" operator="containsText" text="PENDIENTE">
      <formula>NOT(ISERROR(SEARCH("PENDIENTE",AM70)))</formula>
    </cfRule>
    <cfRule type="containsText" dxfId="1452" priority="5741" operator="containsText" text="PRIORIDAD">
      <formula>NOT(ISERROR(SEARCH("PRIORIDAD",AM70)))</formula>
    </cfRule>
    <cfRule type="containsText" dxfId="1451" priority="5742" operator="containsText" text="ENTREGADO">
      <formula>NOT(ISERROR(SEARCH("ENTREGADO",AM70)))</formula>
    </cfRule>
    <cfRule type="containsText" dxfId="1450" priority="5736" operator="containsText" text="ENTREGADO">
      <formula>NOT(ISERROR(SEARCH("ENTREGADO",#REF!)))</formula>
    </cfRule>
    <cfRule type="containsText" dxfId="1449" priority="5737" operator="containsText" text="PENDIENTE">
      <formula>NOT(ISERROR(SEARCH("PENDIENTE",#REF!)))</formula>
    </cfRule>
    <cfRule type="containsText" dxfId="1448" priority="5738" operator="containsText" text="ENTREGADO">
      <formula>NOT(ISERROR(SEARCH("ENTREGADO",AM70)))</formula>
    </cfRule>
  </conditionalFormatting>
  <conditionalFormatting sqref="AM75">
    <cfRule type="containsText" dxfId="1447" priority="4753" operator="containsText" text="ENTREGADO">
      <formula>NOT(ISERROR(SEARCH("ENTREGADO",AM75)))</formula>
    </cfRule>
    <cfRule type="containsText" dxfId="1446" priority="4751" operator="containsText" text="ENTREGADO">
      <formula>NOT(ISERROR(SEARCH("ENTREGADO",#REF!)))</formula>
    </cfRule>
    <cfRule type="containsText" dxfId="1445" priority="4754" operator="containsText" text="ENTREGADO">
      <formula>NOT(ISERROR(SEARCH("ENTREGADO",AM75)))</formula>
    </cfRule>
    <cfRule type="containsText" dxfId="1444" priority="4755" operator="containsText" text="PENDIENTE">
      <formula>NOT(ISERROR(SEARCH("PENDIENTE",AM75)))</formula>
    </cfRule>
    <cfRule type="containsText" dxfId="1443" priority="4756" operator="containsText" text="PRIORIDAD">
      <formula>NOT(ISERROR(SEARCH("PRIORIDAD",AM75)))</formula>
    </cfRule>
    <cfRule type="containsText" dxfId="1442" priority="4757" operator="containsText" text="ENTREGADO">
      <formula>NOT(ISERROR(SEARCH("ENTREGADO",AM75)))</formula>
    </cfRule>
    <cfRule type="containsText" dxfId="1441" priority="4752" operator="containsText" text="PENDIENTE">
      <formula>NOT(ISERROR(SEARCH("PENDIENTE",#REF!)))</formula>
    </cfRule>
  </conditionalFormatting>
  <conditionalFormatting sqref="AM76 AM80:AM81 AM83:AM84">
    <cfRule type="containsText" dxfId="1440" priority="2869" operator="containsText" text="ENTREGADO">
      <formula>NOT(ISERROR(SEARCH("ENTREGADO",#REF!)))</formula>
    </cfRule>
    <cfRule type="containsText" dxfId="1439" priority="2875" operator="containsText" text="ENTREGADO">
      <formula>NOT(ISERROR(SEARCH("ENTREGADO",AM76)))</formula>
    </cfRule>
    <cfRule type="containsText" dxfId="1438" priority="2872" operator="containsText" text="ENTREGADO">
      <formula>NOT(ISERROR(SEARCH("ENTREGADO",AM76)))</formula>
    </cfRule>
    <cfRule type="containsText" dxfId="1437" priority="2871" operator="containsText" text="ENTREGADO">
      <formula>NOT(ISERROR(SEARCH("ENTREGADO",AM76)))</formula>
    </cfRule>
    <cfRule type="containsText" dxfId="1436" priority="2874" operator="containsText" text="PRIORIDAD">
      <formula>NOT(ISERROR(SEARCH("PRIORIDAD",AM76)))</formula>
    </cfRule>
    <cfRule type="containsText" dxfId="1435" priority="2870" operator="containsText" text="PENDIENTE">
      <formula>NOT(ISERROR(SEARCH("PENDIENTE",#REF!)))</formula>
    </cfRule>
    <cfRule type="containsText" dxfId="1434" priority="2873" operator="containsText" text="PENDIENTE">
      <formula>NOT(ISERROR(SEARCH("PENDIENTE",AM76)))</formula>
    </cfRule>
  </conditionalFormatting>
  <conditionalFormatting sqref="AM77">
    <cfRule type="containsText" dxfId="1433" priority="2013" operator="containsText" text="PENDIENTE">
      <formula>NOT(ISERROR(SEARCH("PENDIENTE",AM77)))</formula>
    </cfRule>
    <cfRule type="containsText" dxfId="1432" priority="2012" operator="containsText" text="ENTREGADO">
      <formula>NOT(ISERROR(SEARCH("ENTREGADO",AM77)))</formula>
    </cfRule>
    <cfRule type="containsText" dxfId="1431" priority="2011" operator="containsText" text="ENTREGADO">
      <formula>NOT(ISERROR(SEARCH("ENTREGADO",AM77)))</formula>
    </cfRule>
    <cfRule type="containsText" dxfId="1430" priority="2010" operator="containsText" text="PENDIENTE">
      <formula>NOT(ISERROR(SEARCH("PENDIENTE",#REF!)))</formula>
    </cfRule>
    <cfRule type="containsText" dxfId="1429" priority="2015" operator="containsText" text="ENTREGADO">
      <formula>NOT(ISERROR(SEARCH("ENTREGADO",AM77)))</formula>
    </cfRule>
    <cfRule type="containsText" dxfId="1428" priority="2009" operator="containsText" text="ENTREGADO">
      <formula>NOT(ISERROR(SEARCH("ENTREGADO",#REF!)))</formula>
    </cfRule>
    <cfRule type="containsText" dxfId="1427" priority="2014" operator="containsText" text="PRIORIDAD">
      <formula>NOT(ISERROR(SEARCH("PRIORIDAD",AM77)))</formula>
    </cfRule>
  </conditionalFormatting>
  <conditionalFormatting sqref="AM78">
    <cfRule type="containsText" dxfId="1426" priority="1575" operator="containsText" text="ENTREGADO">
      <formula>NOT(ISERROR(SEARCH("ENTREGADO",#REF!)))</formula>
    </cfRule>
    <cfRule type="containsText" dxfId="1425" priority="1576" operator="containsText" text="PENDIENTE">
      <formula>NOT(ISERROR(SEARCH("PENDIENTE",#REF!)))</formula>
    </cfRule>
    <cfRule type="containsText" dxfId="1424" priority="1577" operator="containsText" text="ENTREGADO">
      <formula>NOT(ISERROR(SEARCH("ENTREGADO",AM78)))</formula>
    </cfRule>
    <cfRule type="containsText" dxfId="1423" priority="1578" operator="containsText" text="ENTREGADO">
      <formula>NOT(ISERROR(SEARCH("ENTREGADO",AM78)))</formula>
    </cfRule>
    <cfRule type="containsText" dxfId="1422" priority="1579" operator="containsText" text="PENDIENTE">
      <formula>NOT(ISERROR(SEARCH("PENDIENTE",AM78)))</formula>
    </cfRule>
    <cfRule type="containsText" dxfId="1421" priority="1580" operator="containsText" text="PRIORIDAD">
      <formula>NOT(ISERROR(SEARCH("PRIORIDAD",AM78)))</formula>
    </cfRule>
    <cfRule type="containsText" dxfId="1420" priority="1581" operator="containsText" text="ENTREGADO">
      <formula>NOT(ISERROR(SEARCH("ENTREGADO",AM78)))</formula>
    </cfRule>
  </conditionalFormatting>
  <conditionalFormatting sqref="AM79">
    <cfRule type="containsText" dxfId="1419" priority="1472" operator="containsText" text="ENTREGADO">
      <formula>NOT(ISERROR(SEARCH("ENTREGADO",AM79)))</formula>
    </cfRule>
    <cfRule type="containsText" dxfId="1418" priority="1473" operator="containsText" text="ENTREGADO">
      <formula>NOT(ISERROR(SEARCH("ENTREGADO",AM79)))</formula>
    </cfRule>
    <cfRule type="containsText" dxfId="1417" priority="1476" operator="containsText" text="ENTREGADO">
      <formula>NOT(ISERROR(SEARCH("ENTREGADO",AM79)))</formula>
    </cfRule>
    <cfRule type="containsText" dxfId="1416" priority="1471" operator="containsText" text="PENDIENTE">
      <formula>NOT(ISERROR(SEARCH("PENDIENTE",#REF!)))</formula>
    </cfRule>
    <cfRule type="containsText" dxfId="1415" priority="1474" operator="containsText" text="PENDIENTE">
      <formula>NOT(ISERROR(SEARCH("PENDIENTE",AM79)))</formula>
    </cfRule>
    <cfRule type="containsText" dxfId="1414" priority="1470" operator="containsText" text="ENTREGADO">
      <formula>NOT(ISERROR(SEARCH("ENTREGADO",#REF!)))</formula>
    </cfRule>
  </conditionalFormatting>
  <conditionalFormatting sqref="AM82">
    <cfRule type="containsText" dxfId="1413" priority="1329" operator="containsText" text="PRIORIDAD">
      <formula>NOT(ISERROR(SEARCH("PRIORIDAD",AM82)))</formula>
    </cfRule>
    <cfRule type="containsText" dxfId="1412" priority="1328" operator="containsText" text="PENDIENTE">
      <formula>NOT(ISERROR(SEARCH("PENDIENTE",AM82)))</formula>
    </cfRule>
    <cfRule type="containsText" dxfId="1411" priority="1327" operator="containsText" text="ENTREGADO">
      <formula>NOT(ISERROR(SEARCH("ENTREGADO",AM82)))</formula>
    </cfRule>
    <cfRule type="containsText" dxfId="1410" priority="1324" operator="containsText" text="ENTREGADO">
      <formula>NOT(ISERROR(SEARCH("ENTREGADO",#REF!)))</formula>
    </cfRule>
    <cfRule type="containsText" dxfId="1409" priority="1330" operator="containsText" text="ENTREGADO">
      <formula>NOT(ISERROR(SEARCH("ENTREGADO",AM82)))</formula>
    </cfRule>
    <cfRule type="containsText" dxfId="1408" priority="1325" operator="containsText" text="PENDIENTE">
      <formula>NOT(ISERROR(SEARCH("PENDIENTE",#REF!)))</formula>
    </cfRule>
    <cfRule type="containsText" dxfId="1407" priority="1326" operator="containsText" text="ENTREGADO">
      <formula>NOT(ISERROR(SEARCH("ENTREGADO",AM82)))</formula>
    </cfRule>
  </conditionalFormatting>
  <conditionalFormatting sqref="AM85">
    <cfRule type="containsText" dxfId="1406" priority="2615" operator="containsText" text="PENDIENTE">
      <formula>NOT(ISERROR(SEARCH("PENDIENTE",AM85)))</formula>
    </cfRule>
    <cfRule type="containsText" dxfId="1405" priority="2614" operator="containsText" text="ENTREGADO">
      <formula>NOT(ISERROR(SEARCH("ENTREGADO",AM85)))</formula>
    </cfRule>
    <cfRule type="containsText" dxfId="1404" priority="2613" operator="containsText" text="ENTREGADO">
      <formula>NOT(ISERROR(SEARCH("ENTREGADO",AM85)))</formula>
    </cfRule>
    <cfRule type="containsText" dxfId="1403" priority="2612" operator="containsText" text="PENDIENTE">
      <formula>NOT(ISERROR(SEARCH("PENDIENTE",#REF!)))</formula>
    </cfRule>
    <cfRule type="containsText" dxfId="1402" priority="2611" operator="containsText" text="ENTREGADO">
      <formula>NOT(ISERROR(SEARCH("ENTREGADO",#REF!)))</formula>
    </cfRule>
    <cfRule type="containsText" dxfId="1401" priority="2617" operator="containsText" text="ENTREGADO">
      <formula>NOT(ISERROR(SEARCH("ENTREGADO",AM85)))</formula>
    </cfRule>
    <cfRule type="containsText" dxfId="1400" priority="2616" operator="containsText" text="PRIORIDAD">
      <formula>NOT(ISERROR(SEARCH("PRIORIDAD",AM85)))</formula>
    </cfRule>
  </conditionalFormatting>
  <conditionalFormatting sqref="AM86">
    <cfRule type="containsText" dxfId="1399" priority="2459" operator="containsText" text="ENTREGADO">
      <formula>NOT(ISERROR(SEARCH("ENTREGADO",AM86)))</formula>
    </cfRule>
    <cfRule type="containsText" dxfId="1398" priority="2456" operator="containsText" text="ENTREGADO">
      <formula>NOT(ISERROR(SEARCH("ENTREGADO",#REF!)))</formula>
    </cfRule>
    <cfRule type="containsText" dxfId="1397" priority="2457" operator="containsText" text="PENDIENTE">
      <formula>NOT(ISERROR(SEARCH("PENDIENTE",#REF!)))</formula>
    </cfRule>
    <cfRule type="containsText" dxfId="1396" priority="2458" operator="containsText" text="ENTREGADO">
      <formula>NOT(ISERROR(SEARCH("ENTREGADO",AM86)))</formula>
    </cfRule>
    <cfRule type="containsText" dxfId="1395" priority="2460" operator="containsText" text="PENDIENTE">
      <formula>NOT(ISERROR(SEARCH("PENDIENTE",AM86)))</formula>
    </cfRule>
    <cfRule type="containsText" dxfId="1394" priority="2461" operator="containsText" text="PRIORIDAD">
      <formula>NOT(ISERROR(SEARCH("PRIORIDAD",AM86)))</formula>
    </cfRule>
    <cfRule type="containsText" dxfId="1393" priority="2462" operator="containsText" text="ENTREGADO">
      <formula>NOT(ISERROR(SEARCH("ENTREGADO",AM86)))</formula>
    </cfRule>
  </conditionalFormatting>
  <conditionalFormatting sqref="AM87">
    <cfRule type="containsText" dxfId="1392" priority="2331" operator="containsText" text="PENDIENTE">
      <formula>NOT(ISERROR(SEARCH("PENDIENTE",AM87)))</formula>
    </cfRule>
    <cfRule type="containsText" dxfId="1391" priority="2332" operator="containsText" text="PRIORIDAD">
      <formula>NOT(ISERROR(SEARCH("PRIORIDAD",AM87)))</formula>
    </cfRule>
    <cfRule type="containsText" dxfId="1390" priority="2327" operator="containsText" text="ENTREGADO">
      <formula>NOT(ISERROR(SEARCH("ENTREGADO",#REF!)))</formula>
    </cfRule>
    <cfRule type="containsText" dxfId="1389" priority="2328" operator="containsText" text="PENDIENTE">
      <formula>NOT(ISERROR(SEARCH("PENDIENTE",#REF!)))</formula>
    </cfRule>
    <cfRule type="containsText" dxfId="1388" priority="2333" operator="containsText" text="ENTREGADO">
      <formula>NOT(ISERROR(SEARCH("ENTREGADO",AM87)))</formula>
    </cfRule>
    <cfRule type="containsText" dxfId="1387" priority="2329" operator="containsText" text="ENTREGADO">
      <formula>NOT(ISERROR(SEARCH("ENTREGADO",AM87)))</formula>
    </cfRule>
    <cfRule type="containsText" dxfId="1386" priority="2330" operator="containsText" text="ENTREGADO">
      <formula>NOT(ISERROR(SEARCH("ENTREGADO",AM87)))</formula>
    </cfRule>
  </conditionalFormatting>
  <conditionalFormatting sqref="AM88">
    <cfRule type="containsText" dxfId="1385" priority="2202" operator="containsText" text="PENDIENTE">
      <formula>NOT(ISERROR(SEARCH("PENDIENTE",AM88)))</formula>
    </cfRule>
    <cfRule type="containsText" dxfId="1384" priority="2199" operator="containsText" text="PENDIENTE">
      <formula>NOT(ISERROR(SEARCH("PENDIENTE",#REF!)))</formula>
    </cfRule>
    <cfRule type="containsText" dxfId="1383" priority="2200" operator="containsText" text="ENTREGADO">
      <formula>NOT(ISERROR(SEARCH("ENTREGADO",AM88)))</formula>
    </cfRule>
    <cfRule type="containsText" dxfId="1382" priority="2201" operator="containsText" text="ENTREGADO">
      <formula>NOT(ISERROR(SEARCH("ENTREGADO",AM88)))</formula>
    </cfRule>
    <cfRule type="containsText" dxfId="1381" priority="2198" operator="containsText" text="ENTREGADO">
      <formula>NOT(ISERROR(SEARCH("ENTREGADO",#REF!)))</formula>
    </cfRule>
    <cfRule type="containsText" dxfId="1380" priority="2204" operator="containsText" text="ENTREGADO">
      <formula>NOT(ISERROR(SEARCH("ENTREGADO",AM88)))</formula>
    </cfRule>
    <cfRule type="containsText" dxfId="1379" priority="2203" operator="containsText" text="PRIORIDAD">
      <formula>NOT(ISERROR(SEARCH("PRIORIDAD",AM88)))</formula>
    </cfRule>
  </conditionalFormatting>
  <conditionalFormatting sqref="AM89">
    <cfRule type="containsText" dxfId="1378" priority="1823" operator="containsText" text="ENTREGADO">
      <formula>NOT(ISERROR(SEARCH("ENTREGADO",AM89)))</formula>
    </cfRule>
    <cfRule type="containsText" dxfId="1377" priority="1822" operator="containsText" text="PRIORIDAD">
      <formula>NOT(ISERROR(SEARCH("PRIORIDAD",AM89)))</formula>
    </cfRule>
    <cfRule type="containsText" dxfId="1376" priority="1817" operator="containsText" text="ENTREGADO">
      <formula>NOT(ISERROR(SEARCH("ENTREGADO",#REF!)))</formula>
    </cfRule>
    <cfRule type="containsText" dxfId="1375" priority="1818" operator="containsText" text="PENDIENTE">
      <formula>NOT(ISERROR(SEARCH("PENDIENTE",#REF!)))</formula>
    </cfRule>
    <cfRule type="containsText" dxfId="1374" priority="1819" operator="containsText" text="ENTREGADO">
      <formula>NOT(ISERROR(SEARCH("ENTREGADO",AM89)))</formula>
    </cfRule>
    <cfRule type="containsText" dxfId="1373" priority="1820" operator="containsText" text="ENTREGADO">
      <formula>NOT(ISERROR(SEARCH("ENTREGADO",AM89)))</formula>
    </cfRule>
    <cfRule type="containsText" dxfId="1372" priority="1821" operator="containsText" text="PENDIENTE">
      <formula>NOT(ISERROR(SEARCH("PENDIENTE",AM89)))</formula>
    </cfRule>
  </conditionalFormatting>
  <conditionalFormatting sqref="AM90">
    <cfRule type="containsText" dxfId="1371" priority="1161" operator="containsText" text="ENTREGADO">
      <formula>NOT(ISERROR(SEARCH("ENTREGADO",#REF!)))</formula>
    </cfRule>
    <cfRule type="containsText" dxfId="1370" priority="1165" operator="containsText" text="PENDIENTE">
      <formula>NOT(ISERROR(SEARCH("PENDIENTE",AM90)))</formula>
    </cfRule>
    <cfRule type="containsText" dxfId="1369" priority="1163" operator="containsText" text="ENTREGADO">
      <formula>NOT(ISERROR(SEARCH("ENTREGADO",AM90)))</formula>
    </cfRule>
    <cfRule type="containsText" dxfId="1368" priority="1167" operator="containsText" text="ENTREGADO">
      <formula>NOT(ISERROR(SEARCH("ENTREGADO",AM90)))</formula>
    </cfRule>
    <cfRule type="containsText" dxfId="1367" priority="1166" operator="containsText" text="PRIORIDAD">
      <formula>NOT(ISERROR(SEARCH("PRIORIDAD",AM90)))</formula>
    </cfRule>
    <cfRule type="containsText" dxfId="1366" priority="1164" operator="containsText" text="ENTREGADO">
      <formula>NOT(ISERROR(SEARCH("ENTREGADO",AM90)))</formula>
    </cfRule>
    <cfRule type="containsText" dxfId="1365" priority="1162" operator="containsText" text="PENDIENTE">
      <formula>NOT(ISERROR(SEARCH("PENDIENTE",#REF!)))</formula>
    </cfRule>
  </conditionalFormatting>
  <conditionalFormatting sqref="AM91">
    <cfRule type="containsText" dxfId="1364" priority="991" operator="containsText" text="ENTREGADO">
      <formula>NOT(ISERROR(SEARCH("ENTREGADO",AM91)))</formula>
    </cfRule>
    <cfRule type="containsText" dxfId="1363" priority="988" operator="containsText" text="ENTREGADO">
      <formula>NOT(ISERROR(SEARCH("ENTREGADO",#REF!)))</formula>
    </cfRule>
    <cfRule type="containsText" dxfId="1362" priority="989" operator="containsText" text="PENDIENTE">
      <formula>NOT(ISERROR(SEARCH("PENDIENTE",#REF!)))</formula>
    </cfRule>
    <cfRule type="containsText" dxfId="1361" priority="993" operator="containsText" text="PRIORIDAD">
      <formula>NOT(ISERROR(SEARCH("PRIORIDAD",AM91)))</formula>
    </cfRule>
    <cfRule type="containsText" dxfId="1360" priority="992" operator="containsText" text="PENDIENTE">
      <formula>NOT(ISERROR(SEARCH("PENDIENTE",AM91)))</formula>
    </cfRule>
    <cfRule type="containsText" dxfId="1359" priority="994" operator="containsText" text="ENTREGADO">
      <formula>NOT(ISERROR(SEARCH("ENTREGADO",AM91)))</formula>
    </cfRule>
    <cfRule type="containsText" dxfId="1358" priority="990" operator="containsText" text="ENTREGADO">
      <formula>NOT(ISERROR(SEARCH("ENTREGADO",AM91)))</formula>
    </cfRule>
  </conditionalFormatting>
  <conditionalFormatting sqref="AM92">
    <cfRule type="containsText" dxfId="1357" priority="853" operator="containsText" text="ENTREGADO">
      <formula>NOT(ISERROR(SEARCH("ENTREGADO",AM92)))</formula>
    </cfRule>
    <cfRule type="containsText" dxfId="1356" priority="852" operator="containsText" text="PRIORIDAD">
      <formula>NOT(ISERROR(SEARCH("PRIORIDAD",AM92)))</formula>
    </cfRule>
    <cfRule type="containsText" dxfId="1355" priority="851" operator="containsText" text="PENDIENTE">
      <formula>NOT(ISERROR(SEARCH("PENDIENTE",AM92)))</formula>
    </cfRule>
    <cfRule type="containsText" dxfId="1354" priority="850" operator="containsText" text="ENTREGADO">
      <formula>NOT(ISERROR(SEARCH("ENTREGADO",AM92)))</formula>
    </cfRule>
    <cfRule type="containsText" dxfId="1353" priority="849" operator="containsText" text="ENTREGADO">
      <formula>NOT(ISERROR(SEARCH("ENTREGADO",AM92)))</formula>
    </cfRule>
    <cfRule type="containsText" dxfId="1352" priority="848" operator="containsText" text="PENDIENTE">
      <formula>NOT(ISERROR(SEARCH("PENDIENTE",#REF!)))</formula>
    </cfRule>
    <cfRule type="containsText" dxfId="1351" priority="847" operator="containsText" text="ENTREGADO">
      <formula>NOT(ISERROR(SEARCH("ENTREGADO",#REF!)))</formula>
    </cfRule>
  </conditionalFormatting>
  <conditionalFormatting sqref="AM79:AO79">
    <cfRule type="containsText" dxfId="1350" priority="1475" operator="containsText" text="PRIORIDAD">
      <formula>NOT(ISERROR(SEARCH("PRIORIDAD",AM79)))</formula>
    </cfRule>
  </conditionalFormatting>
  <conditionalFormatting sqref="AN39:AO39 AR39:BA39 AD39:AG39 AI39:AL39">
    <cfRule type="containsText" dxfId="1349" priority="4293" operator="containsText" text="ENTREGADO">
      <formula>NOT(ISERROR(SEARCH("ENTREGADO",AD39)))</formula>
    </cfRule>
  </conditionalFormatting>
  <conditionalFormatting sqref="AN39:AO39 AR39:BA39">
    <cfRule type="containsText" dxfId="1348" priority="4292" operator="containsText" text="ENTREGADO">
      <formula>NOT(ISERROR(SEARCH("ENTREGADO",AN39)))</formula>
    </cfRule>
  </conditionalFormatting>
  <conditionalFormatting sqref="AN39:AO39">
    <cfRule type="containsText" dxfId="1347" priority="4050" operator="containsText" text="ENTREGADO">
      <formula>NOT(ISERROR(SEARCH("ENTREGADO",AN39)))</formula>
    </cfRule>
  </conditionalFormatting>
  <conditionalFormatting sqref="AN45:AO50">
    <cfRule type="containsText" dxfId="1346" priority="4300" operator="containsText" text="PRIORIDAD">
      <formula>NOT(ISERROR(SEARCH("PRIORIDAD",AN45)))</formula>
    </cfRule>
  </conditionalFormatting>
  <conditionalFormatting sqref="AN59:AO62">
    <cfRule type="containsText" dxfId="1345" priority="3427" operator="containsText" text="PRIORIDAD">
      <formula>NOT(ISERROR(SEARCH("PRIORIDAD",AN59)))</formula>
    </cfRule>
  </conditionalFormatting>
  <conditionalFormatting sqref="AN4:BB4 AK4:AL4">
    <cfRule type="containsText" dxfId="1344" priority="18859" operator="containsText" text="PENDIENTE">
      <formula>NOT(ISERROR(SEARCH("PENDIENTE",#REF!)))</formula>
    </cfRule>
  </conditionalFormatting>
  <conditionalFormatting sqref="AN3:BC6 AK4:AL4 J62:O62 A57 A62 C2:D3 G2:N4 F2:F7 B3:B22 C5:D6 K5:N7 C8:D22 F9:F16 K10:K17 M10:N17 F18:F22 K18:N22 F31:H31 J31:N31 F37:H37 J35:N38 E42:H45 J42:N45 F57:H58 J57:N58 G62:H62 K71:N71 AR57:BC57 BD18:BG22 BD42:BG45 T57:X57 AD57:AG57 AI57:AL57 AN57:AO57 BH57:XFD57 Y3:AL3 AD5:AL5 AD6:AG17 AR7:AW7 AN7:AO22 AR18:AW22 AD19:AG22 AI19:AL22 AR38:BA38 AD38:AG38 AI38:AL38 AN38:AO38 AD42:AL44 AR42:BA44 AI27:AL27 AN27:AO27 AR27:BC27 AD27:AG30 AI28:AO28 AR28:AW28 AI29:AL30 AN29:AO30 AR29:BC30 AD32:AG32 AI32:AL32 AN32:AO32 AR32:BC32 AD34:AG34 AI34:AL34 AN34:AO34 AR34:BC34 AR40:BC40 AD71:AG71 AI71:AL71 AN71:AO71 AR71:BA71 O29:O30 C32:D32 C34:D34 V3:W3 O32 S4:T4 O57 O2:XFD2 A1 T1:XFD1 A2:B2 AR8:BC17 G38:H38 G35:H36 J50:N50 F50:H50 AN40:AO40 AI40:AL40 AD40:AG40 E34:E38 AN42:AO44 AD18:AL18 AI6:AL17">
    <cfRule type="containsText" dxfId="1343" priority="27208" operator="containsText" text="PENDIENTE">
      <formula>NOT(ISERROR(SEARCH("PENDIENTE",A1)))</formula>
    </cfRule>
  </conditionalFormatting>
  <conditionalFormatting sqref="AN78:BC78">
    <cfRule type="containsText" dxfId="1342" priority="1659" operator="containsText" text="PRIORIDAD">
      <formula>NOT(ISERROR(SEARCH("PRIORIDAD",AN78)))</formula>
    </cfRule>
  </conditionalFormatting>
  <conditionalFormatting sqref="AP4">
    <cfRule type="containsText" dxfId="1341" priority="6401" operator="containsText" text="PENDIENTE">
      <formula>NOT(ISERROR(SEARCH("PENDIENTE",#REF!)))</formula>
    </cfRule>
    <cfRule type="containsText" dxfId="1340" priority="6400" operator="containsText" text="ENTREGADO">
      <formula>NOT(ISERROR(SEARCH("ENTREGADO",#REF!)))</formula>
    </cfRule>
    <cfRule type="containsText" dxfId="1339" priority="6402" operator="containsText" text="ENTREGADO">
      <formula>NOT(ISERROR(SEARCH("ENTREGADO",AP4)))</formula>
    </cfRule>
    <cfRule type="containsText" dxfId="1338" priority="6403" operator="containsText" text="ENTREGADO">
      <formula>NOT(ISERROR(SEARCH("ENTREGADO",AP4)))</formula>
    </cfRule>
  </conditionalFormatting>
  <conditionalFormatting sqref="AP7:AQ32 AP34:AQ38 AP40:AQ40 AP42:AQ45 AP50:BA50 AP62:AQ69 AP71:BA74">
    <cfRule type="containsText" dxfId="1337" priority="5982" operator="containsText" text="PRIORIDAD">
      <formula>NOT(ISERROR(SEARCH("PRIORIDAD",AP7)))</formula>
    </cfRule>
  </conditionalFormatting>
  <conditionalFormatting sqref="AP34:AQ38 AP71:AQ74 AP40:AQ40 AP56:AQ58 AP42:AQ45 AP7:AQ32 AP50:AQ54 AP62:AQ69">
    <cfRule type="containsText" dxfId="1336" priority="5981" operator="containsText" text="PENDIENTE">
      <formula>NOT(ISERROR(SEARCH("PENDIENTE",AP7)))</formula>
    </cfRule>
    <cfRule type="containsText" dxfId="1335" priority="5980" operator="containsText" text="ENTREGADO">
      <formula>NOT(ISERROR(SEARCH("ENTREGADO",AP7)))</formula>
    </cfRule>
    <cfRule type="containsText" dxfId="1334" priority="5979" operator="containsText" text="ENTREGADO">
      <formula>NOT(ISERROR(SEARCH("ENTREGADO",AP7)))</formula>
    </cfRule>
    <cfRule type="containsText" dxfId="1333" priority="5977" operator="containsText" text="ENTREGADO">
      <formula>NOT(ISERROR(SEARCH("ENTREGADO",#REF!)))</formula>
    </cfRule>
    <cfRule type="containsText" dxfId="1332" priority="5983" operator="containsText" text="ENTREGADO">
      <formula>NOT(ISERROR(SEARCH("ENTREGADO",AP7)))</formula>
    </cfRule>
    <cfRule type="containsText" dxfId="1331" priority="5978" operator="containsText" text="PENDIENTE">
      <formula>NOT(ISERROR(SEARCH("PENDIENTE",#REF!)))</formula>
    </cfRule>
  </conditionalFormatting>
  <conditionalFormatting sqref="AP39:AQ39">
    <cfRule type="containsText" dxfId="1330" priority="4005" operator="containsText" text="PENDIENTE">
      <formula>NOT(ISERROR(SEARCH("PENDIENTE",AP39)))</formula>
    </cfRule>
    <cfRule type="containsText" dxfId="1329" priority="4004" operator="containsText" text="ENTREGADO">
      <formula>NOT(ISERROR(SEARCH("ENTREGADO",AP39)))</formula>
    </cfRule>
    <cfRule type="containsText" dxfId="1328" priority="4003" operator="containsText" text="ENTREGADO">
      <formula>NOT(ISERROR(SEARCH("ENTREGADO",AP39)))</formula>
    </cfRule>
    <cfRule type="containsText" dxfId="1327" priority="4001" operator="containsText" text="ENTREGADO">
      <formula>NOT(ISERROR(SEARCH("ENTREGADO",#REF!)))</formula>
    </cfRule>
    <cfRule type="containsText" dxfId="1326" priority="4006" operator="containsText" text="PRIORIDAD">
      <formula>NOT(ISERROR(SEARCH("PRIORIDAD",AP39)))</formula>
    </cfRule>
    <cfRule type="containsText" dxfId="1325" priority="4007" operator="containsText" text="ENTREGADO">
      <formula>NOT(ISERROR(SEARCH("ENTREGADO",AP39)))</formula>
    </cfRule>
    <cfRule type="containsText" dxfId="1324" priority="4002" operator="containsText" text="PENDIENTE">
      <formula>NOT(ISERROR(SEARCH("PENDIENTE",#REF!)))</formula>
    </cfRule>
  </conditionalFormatting>
  <conditionalFormatting sqref="AP41:AQ41">
    <cfRule type="containsText" dxfId="1323" priority="3667" operator="containsText" text="ENTREGADO">
      <formula>NOT(ISERROR(SEARCH("ENTREGADO",#REF!)))</formula>
    </cfRule>
    <cfRule type="containsText" dxfId="1322" priority="3668" operator="containsText" text="PENDIENTE">
      <formula>NOT(ISERROR(SEARCH("PENDIENTE",#REF!)))</formula>
    </cfRule>
    <cfRule type="containsText" dxfId="1321" priority="3672" operator="containsText" text="PRIORIDAD">
      <formula>NOT(ISERROR(SEARCH("PRIORIDAD",AP41)))</formula>
    </cfRule>
    <cfRule type="containsText" dxfId="1320" priority="3669" operator="containsText" text="ENTREGADO">
      <formula>NOT(ISERROR(SEARCH("ENTREGADO",AP41)))</formula>
    </cfRule>
    <cfRule type="containsText" dxfId="1319" priority="3670" operator="containsText" text="ENTREGADO">
      <formula>NOT(ISERROR(SEARCH("ENTREGADO",AP41)))</formula>
    </cfRule>
    <cfRule type="containsText" dxfId="1318" priority="3671" operator="containsText" text="PENDIENTE">
      <formula>NOT(ISERROR(SEARCH("PENDIENTE",AP41)))</formula>
    </cfRule>
    <cfRule type="containsText" dxfId="1317" priority="3673" operator="containsText" text="ENTREGADO">
      <formula>NOT(ISERROR(SEARCH("ENTREGADO",AP41)))</formula>
    </cfRule>
  </conditionalFormatting>
  <conditionalFormatting sqref="AP46:AQ49">
    <cfRule type="containsText" dxfId="1316" priority="4320" operator="containsText" text="ENTREGADO">
      <formula>NOT(ISERROR(SEARCH("ENTREGADO",AP46)))</formula>
    </cfRule>
    <cfRule type="containsText" dxfId="1315" priority="4319" operator="containsText" text="PRIORIDAD">
      <formula>NOT(ISERROR(SEARCH("PRIORIDAD",AP46)))</formula>
    </cfRule>
    <cfRule type="containsText" dxfId="1314" priority="4318" operator="containsText" text="PENDIENTE">
      <formula>NOT(ISERROR(SEARCH("PENDIENTE",AP46)))</formula>
    </cfRule>
    <cfRule type="containsText" dxfId="1313" priority="4317" operator="containsText" text="ENTREGADO">
      <formula>NOT(ISERROR(SEARCH("ENTREGADO",AP46)))</formula>
    </cfRule>
    <cfRule type="containsText" dxfId="1312" priority="4316" operator="containsText" text="ENTREGADO">
      <formula>NOT(ISERROR(SEARCH("ENTREGADO",AP46)))</formula>
    </cfRule>
    <cfRule type="containsText" dxfId="1311" priority="4315" operator="containsText" text="PENDIENTE">
      <formula>NOT(ISERROR(SEARCH("PENDIENTE",#REF!)))</formula>
    </cfRule>
    <cfRule type="containsText" dxfId="1310" priority="4314" operator="containsText" text="ENTREGADO">
      <formula>NOT(ISERROR(SEARCH("ENTREGADO",#REF!)))</formula>
    </cfRule>
  </conditionalFormatting>
  <conditionalFormatting sqref="AP55:AQ55">
    <cfRule type="containsText" dxfId="1309" priority="534" operator="containsText" text="ENTREGADO">
      <formula>NOT(ISERROR(SEARCH("ENTREGADO",AP55)))</formula>
    </cfRule>
    <cfRule type="containsText" dxfId="1308" priority="535" operator="containsText" text="PENDIENTE">
      <formula>NOT(ISERROR(SEARCH("PENDIENTE",AP55)))</formula>
    </cfRule>
    <cfRule type="containsText" dxfId="1307" priority="532" operator="containsText" text="PENDIENTE">
      <formula>NOT(ISERROR(SEARCH("PENDIENTE",#REF!)))</formula>
    </cfRule>
    <cfRule type="containsText" dxfId="1306" priority="536" operator="containsText" text="ENTREGADO">
      <formula>NOT(ISERROR(SEARCH("ENTREGADO",AP55)))</formula>
    </cfRule>
    <cfRule type="containsText" dxfId="1305" priority="533" operator="containsText" text="ENTREGADO">
      <formula>NOT(ISERROR(SEARCH("ENTREGADO",AP55)))</formula>
    </cfRule>
    <cfRule type="containsText" dxfId="1304" priority="531" operator="containsText" text="ENTREGADO">
      <formula>NOT(ISERROR(SEARCH("ENTREGADO",#REF!)))</formula>
    </cfRule>
  </conditionalFormatting>
  <conditionalFormatting sqref="AP59:AQ59">
    <cfRule type="containsText" dxfId="1303" priority="3439" operator="containsText" text="ENTREGADO">
      <formula>NOT(ISERROR(SEARCH("ENTREGADO",#REF!)))</formula>
    </cfRule>
    <cfRule type="containsText" dxfId="1302" priority="3443" operator="containsText" text="PENDIENTE">
      <formula>NOT(ISERROR(SEARCH("PENDIENTE",AP59)))</formula>
    </cfRule>
    <cfRule type="containsText" dxfId="1301" priority="3442" operator="containsText" text="ENTREGADO">
      <formula>NOT(ISERROR(SEARCH("ENTREGADO",AP59)))</formula>
    </cfRule>
    <cfRule type="containsText" dxfId="1300" priority="3440" operator="containsText" text="PENDIENTE">
      <formula>NOT(ISERROR(SEARCH("PENDIENTE",#REF!)))</formula>
    </cfRule>
    <cfRule type="containsText" dxfId="1299" priority="3441" operator="containsText" text="ENTREGADO">
      <formula>NOT(ISERROR(SEARCH("ENTREGADO",AP59)))</formula>
    </cfRule>
    <cfRule type="containsText" dxfId="1298" priority="3445" operator="containsText" text="ENTREGADO">
      <formula>NOT(ISERROR(SEARCH("ENTREGADO",AP59)))</formula>
    </cfRule>
  </conditionalFormatting>
  <conditionalFormatting sqref="AP60:AQ60">
    <cfRule type="containsText" dxfId="1297" priority="4612" operator="containsText" text="ENTREGADO">
      <formula>NOT(ISERROR(SEARCH("ENTREGADO",AP60)))</formula>
    </cfRule>
    <cfRule type="containsText" dxfId="1296" priority="4609" operator="containsText" text="ENTREGADO">
      <formula>NOT(ISERROR(SEARCH("ENTREGADO",AP60)))</formula>
    </cfRule>
    <cfRule type="containsText" dxfId="1295" priority="4607" operator="containsText" text="PENDIENTE">
      <formula>NOT(ISERROR(SEARCH("PENDIENTE",#REF!)))</formula>
    </cfRule>
    <cfRule type="containsText" dxfId="1294" priority="4606" operator="containsText" text="ENTREGADO">
      <formula>NOT(ISERROR(SEARCH("ENTREGADO",#REF!)))</formula>
    </cfRule>
    <cfRule type="containsText" dxfId="1293" priority="4608" operator="containsText" text="ENTREGADO">
      <formula>NOT(ISERROR(SEARCH("ENTREGADO",AP60)))</formula>
    </cfRule>
    <cfRule type="containsText" dxfId="1292" priority="4610" operator="containsText" text="PENDIENTE">
      <formula>NOT(ISERROR(SEARCH("PENDIENTE",AP60)))</formula>
    </cfRule>
  </conditionalFormatting>
  <conditionalFormatting sqref="AP61:AQ61">
    <cfRule type="containsText" dxfId="1291" priority="4473" operator="containsText" text="ENTREGADO">
      <formula>NOT(ISERROR(SEARCH("ENTREGADO",AP61)))</formula>
    </cfRule>
    <cfRule type="containsText" dxfId="1290" priority="4469" operator="containsText" text="ENTREGADO">
      <formula>NOT(ISERROR(SEARCH("ENTREGADO",AP61)))</formula>
    </cfRule>
    <cfRule type="containsText" dxfId="1289" priority="4468" operator="containsText" text="PENDIENTE">
      <formula>NOT(ISERROR(SEARCH("PENDIENTE",#REF!)))</formula>
    </cfRule>
    <cfRule type="containsText" dxfId="1288" priority="4467" operator="containsText" text="ENTREGADO">
      <formula>NOT(ISERROR(SEARCH("ENTREGADO",#REF!)))</formula>
    </cfRule>
    <cfRule type="containsText" dxfId="1287" priority="4471" operator="containsText" text="PENDIENTE">
      <formula>NOT(ISERROR(SEARCH("PENDIENTE",AP61)))</formula>
    </cfRule>
    <cfRule type="containsText" dxfId="1286" priority="4470" operator="containsText" text="ENTREGADO">
      <formula>NOT(ISERROR(SEARCH("ENTREGADO",AP61)))</formula>
    </cfRule>
  </conditionalFormatting>
  <conditionalFormatting sqref="AP70:AQ70">
    <cfRule type="containsText" dxfId="1285" priority="5732" operator="containsText" text="ENTREGADO">
      <formula>NOT(ISERROR(SEARCH("ENTREGADO",AP70)))</formula>
    </cfRule>
    <cfRule type="containsText" dxfId="1284" priority="5735" operator="containsText" text="ENTREGADO">
      <formula>NOT(ISERROR(SEARCH("ENTREGADO",AP70)))</formula>
    </cfRule>
    <cfRule type="containsText" dxfId="1283" priority="5734" operator="containsText" text="PRIORIDAD">
      <formula>NOT(ISERROR(SEARCH("PRIORIDAD",AP70)))</formula>
    </cfRule>
    <cfRule type="containsText" dxfId="1282" priority="5733" operator="containsText" text="PENDIENTE">
      <formula>NOT(ISERROR(SEARCH("PENDIENTE",AP70)))</formula>
    </cfRule>
    <cfRule type="containsText" dxfId="1281" priority="5730" operator="containsText" text="PENDIENTE">
      <formula>NOT(ISERROR(SEARCH("PENDIENTE",#REF!)))</formula>
    </cfRule>
    <cfRule type="containsText" dxfId="1280" priority="5729" operator="containsText" text="ENTREGADO">
      <formula>NOT(ISERROR(SEARCH("ENTREGADO",#REF!)))</formula>
    </cfRule>
    <cfRule type="containsText" dxfId="1279" priority="5731" operator="containsText" text="ENTREGADO">
      <formula>NOT(ISERROR(SEARCH("ENTREGADO",AP70)))</formula>
    </cfRule>
  </conditionalFormatting>
  <conditionalFormatting sqref="AP75:AQ75">
    <cfRule type="containsText" dxfId="1278" priority="4750" operator="containsText" text="ENTREGADO">
      <formula>NOT(ISERROR(SEARCH("ENTREGADO",AP75)))</formula>
    </cfRule>
    <cfRule type="containsText" dxfId="1277" priority="4745" operator="containsText" text="PENDIENTE">
      <formula>NOT(ISERROR(SEARCH("PENDIENTE",#REF!)))</formula>
    </cfRule>
    <cfRule type="containsText" dxfId="1276" priority="4746" operator="containsText" text="ENTREGADO">
      <formula>NOT(ISERROR(SEARCH("ENTREGADO",AP75)))</formula>
    </cfRule>
    <cfRule type="containsText" dxfId="1275" priority="4747" operator="containsText" text="ENTREGADO">
      <formula>NOT(ISERROR(SEARCH("ENTREGADO",AP75)))</formula>
    </cfRule>
    <cfRule type="containsText" dxfId="1274" priority="4748" operator="containsText" text="PENDIENTE">
      <formula>NOT(ISERROR(SEARCH("PENDIENTE",AP75)))</formula>
    </cfRule>
    <cfRule type="containsText" dxfId="1273" priority="4744" operator="containsText" text="ENTREGADO">
      <formula>NOT(ISERROR(SEARCH("ENTREGADO",#REF!)))</formula>
    </cfRule>
  </conditionalFormatting>
  <conditionalFormatting sqref="AP76:AQ76 AP80:AQ81 AP83:AQ84">
    <cfRule type="containsText" dxfId="1272" priority="2865" operator="containsText" text="ENTREGADO">
      <formula>NOT(ISERROR(SEARCH("ENTREGADO",AP76)))</formula>
    </cfRule>
    <cfRule type="containsText" dxfId="1271" priority="2866" operator="containsText" text="PENDIENTE">
      <formula>NOT(ISERROR(SEARCH("PENDIENTE",AP76)))</formula>
    </cfRule>
    <cfRule type="containsText" dxfId="1270" priority="2868" operator="containsText" text="ENTREGADO">
      <formula>NOT(ISERROR(SEARCH("ENTREGADO",AP76)))</formula>
    </cfRule>
    <cfRule type="containsText" dxfId="1269" priority="2864" operator="containsText" text="ENTREGADO">
      <formula>NOT(ISERROR(SEARCH("ENTREGADO",AP76)))</formula>
    </cfRule>
    <cfRule type="containsText" dxfId="1268" priority="2863" operator="containsText" text="PENDIENTE">
      <formula>NOT(ISERROR(SEARCH("PENDIENTE",#REF!)))</formula>
    </cfRule>
    <cfRule type="containsText" dxfId="1267" priority="2862" operator="containsText" text="ENTREGADO">
      <formula>NOT(ISERROR(SEARCH("ENTREGADO",#REF!)))</formula>
    </cfRule>
  </conditionalFormatting>
  <conditionalFormatting sqref="AP77:AQ77">
    <cfRule type="containsText" dxfId="1266" priority="2004" operator="containsText" text="ENTREGADO">
      <formula>NOT(ISERROR(SEARCH("ENTREGADO",AP77)))</formula>
    </cfRule>
    <cfRule type="containsText" dxfId="1265" priority="2003" operator="containsText" text="PENDIENTE">
      <formula>NOT(ISERROR(SEARCH("PENDIENTE",#REF!)))</formula>
    </cfRule>
    <cfRule type="containsText" dxfId="1264" priority="2006" operator="containsText" text="PENDIENTE">
      <formula>NOT(ISERROR(SEARCH("PENDIENTE",AP77)))</formula>
    </cfRule>
    <cfRule type="containsText" dxfId="1263" priority="2007" operator="containsText" text="PRIORIDAD">
      <formula>NOT(ISERROR(SEARCH("PRIORIDAD",AP77)))</formula>
    </cfRule>
    <cfRule type="containsText" dxfId="1262" priority="2008" operator="containsText" text="ENTREGADO">
      <formula>NOT(ISERROR(SEARCH("ENTREGADO",AP77)))</formula>
    </cfRule>
    <cfRule type="containsText" dxfId="1261" priority="2002" operator="containsText" text="ENTREGADO">
      <formula>NOT(ISERROR(SEARCH("ENTREGADO",#REF!)))</formula>
    </cfRule>
    <cfRule type="containsText" dxfId="1260" priority="2005" operator="containsText" text="ENTREGADO">
      <formula>NOT(ISERROR(SEARCH("ENTREGADO",AP77)))</formula>
    </cfRule>
  </conditionalFormatting>
  <conditionalFormatting sqref="AP78:AQ78">
    <cfRule type="containsText" dxfId="1259" priority="1563" operator="containsText" text="PENDIENTE">
      <formula>NOT(ISERROR(SEARCH("PENDIENTE",AP78)))</formula>
    </cfRule>
    <cfRule type="containsText" dxfId="1258" priority="1564" operator="containsText" text="ENTREGADO">
      <formula>NOT(ISERROR(SEARCH("ENTREGADO",AP78)))</formula>
    </cfRule>
    <cfRule type="containsText" dxfId="1257" priority="1560" operator="containsText" text="PENDIENTE">
      <formula>NOT(ISERROR(SEARCH("PENDIENTE",#REF!)))</formula>
    </cfRule>
    <cfRule type="containsText" dxfId="1256" priority="1561" operator="containsText" text="ENTREGADO">
      <formula>NOT(ISERROR(SEARCH("ENTREGADO",AP78)))</formula>
    </cfRule>
    <cfRule type="containsText" dxfId="1255" priority="1562" operator="containsText" text="ENTREGADO">
      <formula>NOT(ISERROR(SEARCH("ENTREGADO",AP78)))</formula>
    </cfRule>
    <cfRule type="containsText" dxfId="1254" priority="1559" operator="containsText" text="ENTREGADO">
      <formula>NOT(ISERROR(SEARCH("ENTREGADO",#REF!)))</formula>
    </cfRule>
  </conditionalFormatting>
  <conditionalFormatting sqref="AP79:AQ79">
    <cfRule type="containsText" dxfId="1253" priority="1467" operator="containsText" text="PENDIENTE">
      <formula>NOT(ISERROR(SEARCH("PENDIENTE",AP79)))</formula>
    </cfRule>
    <cfRule type="containsText" dxfId="1252" priority="1468" operator="containsText" text="PRIORIDAD">
      <formula>NOT(ISERROR(SEARCH("PRIORIDAD",AP79)))</formula>
    </cfRule>
    <cfRule type="containsText" dxfId="1251" priority="1463" operator="containsText" text="ENTREGADO">
      <formula>NOT(ISERROR(SEARCH("ENTREGADO",#REF!)))</formula>
    </cfRule>
    <cfRule type="containsText" dxfId="1250" priority="1464" operator="containsText" text="PENDIENTE">
      <formula>NOT(ISERROR(SEARCH("PENDIENTE",#REF!)))</formula>
    </cfRule>
    <cfRule type="containsText" dxfId="1249" priority="1466" operator="containsText" text="ENTREGADO">
      <formula>NOT(ISERROR(SEARCH("ENTREGADO",AP79)))</formula>
    </cfRule>
    <cfRule type="containsText" dxfId="1248" priority="1469" operator="containsText" text="ENTREGADO">
      <formula>NOT(ISERROR(SEARCH("ENTREGADO",AP79)))</formula>
    </cfRule>
    <cfRule type="containsText" dxfId="1247" priority="1465" operator="containsText" text="ENTREGADO">
      <formula>NOT(ISERROR(SEARCH("ENTREGADO",AP79)))</formula>
    </cfRule>
  </conditionalFormatting>
  <conditionalFormatting sqref="AP82:AQ82">
    <cfRule type="containsText" dxfId="1246" priority="1317" operator="containsText" text="ENTREGADO">
      <formula>NOT(ISERROR(SEARCH("ENTREGADO",#REF!)))</formula>
    </cfRule>
    <cfRule type="containsText" dxfId="1245" priority="1320" operator="containsText" text="ENTREGADO">
      <formula>NOT(ISERROR(SEARCH("ENTREGADO",AP82)))</formula>
    </cfRule>
    <cfRule type="containsText" dxfId="1244" priority="1319" operator="containsText" text="ENTREGADO">
      <formula>NOT(ISERROR(SEARCH("ENTREGADO",AP82)))</formula>
    </cfRule>
    <cfRule type="containsText" dxfId="1243" priority="1323" operator="containsText" text="ENTREGADO">
      <formula>NOT(ISERROR(SEARCH("ENTREGADO",AP82)))</formula>
    </cfRule>
    <cfRule type="containsText" dxfId="1242" priority="1321" operator="containsText" text="PENDIENTE">
      <formula>NOT(ISERROR(SEARCH("PENDIENTE",AP82)))</formula>
    </cfRule>
    <cfRule type="containsText" dxfId="1241" priority="1318" operator="containsText" text="PENDIENTE">
      <formula>NOT(ISERROR(SEARCH("PENDIENTE",#REF!)))</formula>
    </cfRule>
  </conditionalFormatting>
  <conditionalFormatting sqref="AP85:AQ85">
    <cfRule type="containsText" dxfId="1240" priority="2610" operator="containsText" text="ENTREGADO">
      <formula>NOT(ISERROR(SEARCH("ENTREGADO",AP85)))</formula>
    </cfRule>
    <cfRule type="containsText" dxfId="1239" priority="2604" operator="containsText" text="ENTREGADO">
      <formula>NOT(ISERROR(SEARCH("ENTREGADO",#REF!)))</formula>
    </cfRule>
    <cfRule type="containsText" dxfId="1238" priority="2608" operator="containsText" text="PENDIENTE">
      <formula>NOT(ISERROR(SEARCH("PENDIENTE",AP85)))</formula>
    </cfRule>
    <cfRule type="containsText" dxfId="1237" priority="2607" operator="containsText" text="ENTREGADO">
      <formula>NOT(ISERROR(SEARCH("ENTREGADO",AP85)))</formula>
    </cfRule>
    <cfRule type="containsText" dxfId="1236" priority="2606" operator="containsText" text="ENTREGADO">
      <formula>NOT(ISERROR(SEARCH("ENTREGADO",AP85)))</formula>
    </cfRule>
    <cfRule type="containsText" dxfId="1235" priority="2605" operator="containsText" text="PENDIENTE">
      <formula>NOT(ISERROR(SEARCH("PENDIENTE",#REF!)))</formula>
    </cfRule>
  </conditionalFormatting>
  <conditionalFormatting sqref="AP86:AQ86">
    <cfRule type="containsText" dxfId="1234" priority="2451" operator="containsText" text="ENTREGADO">
      <formula>NOT(ISERROR(SEARCH("ENTREGADO",AP86)))</formula>
    </cfRule>
    <cfRule type="containsText" dxfId="1233" priority="2452" operator="containsText" text="ENTREGADO">
      <formula>NOT(ISERROR(SEARCH("ENTREGADO",AP86)))</formula>
    </cfRule>
    <cfRule type="containsText" dxfId="1232" priority="2453" operator="containsText" text="PENDIENTE">
      <formula>NOT(ISERROR(SEARCH("PENDIENTE",AP86)))</formula>
    </cfRule>
    <cfRule type="containsText" dxfId="1231" priority="2449" operator="containsText" text="ENTREGADO">
      <formula>NOT(ISERROR(SEARCH("ENTREGADO",#REF!)))</formula>
    </cfRule>
    <cfRule type="containsText" dxfId="1230" priority="2450" operator="containsText" text="PENDIENTE">
      <formula>NOT(ISERROR(SEARCH("PENDIENTE",#REF!)))</formula>
    </cfRule>
    <cfRule type="containsText" dxfId="1229" priority="2455" operator="containsText" text="ENTREGADO">
      <formula>NOT(ISERROR(SEARCH("ENTREGADO",AP86)))</formula>
    </cfRule>
  </conditionalFormatting>
  <conditionalFormatting sqref="AP87:AQ87">
    <cfRule type="containsText" dxfId="1228" priority="2321" operator="containsText" text="PENDIENTE">
      <formula>NOT(ISERROR(SEARCH("PENDIENTE",#REF!)))</formula>
    </cfRule>
    <cfRule type="containsText" dxfId="1227" priority="2320" operator="containsText" text="ENTREGADO">
      <formula>NOT(ISERROR(SEARCH("ENTREGADO",#REF!)))</formula>
    </cfRule>
    <cfRule type="containsText" dxfId="1226" priority="2326" operator="containsText" text="ENTREGADO">
      <formula>NOT(ISERROR(SEARCH("ENTREGADO",AP87)))</formula>
    </cfRule>
    <cfRule type="containsText" dxfId="1225" priority="2324" operator="containsText" text="PENDIENTE">
      <formula>NOT(ISERROR(SEARCH("PENDIENTE",AP87)))</formula>
    </cfRule>
    <cfRule type="containsText" dxfId="1224" priority="2322" operator="containsText" text="ENTREGADO">
      <formula>NOT(ISERROR(SEARCH("ENTREGADO",AP87)))</formula>
    </cfRule>
    <cfRule type="containsText" dxfId="1223" priority="2323" operator="containsText" text="ENTREGADO">
      <formula>NOT(ISERROR(SEARCH("ENTREGADO",AP87)))</formula>
    </cfRule>
  </conditionalFormatting>
  <conditionalFormatting sqref="AP88:AQ88">
    <cfRule type="containsText" dxfId="1222" priority="2193" operator="containsText" text="ENTREGADO">
      <formula>NOT(ISERROR(SEARCH("ENTREGADO",AP88)))</formula>
    </cfRule>
    <cfRule type="containsText" dxfId="1221" priority="2197" operator="containsText" text="ENTREGADO">
      <formula>NOT(ISERROR(SEARCH("ENTREGADO",AP88)))</formula>
    </cfRule>
    <cfRule type="containsText" dxfId="1220" priority="2195" operator="containsText" text="PENDIENTE">
      <formula>NOT(ISERROR(SEARCH("PENDIENTE",AP88)))</formula>
    </cfRule>
    <cfRule type="containsText" dxfId="1219" priority="2194" operator="containsText" text="ENTREGADO">
      <formula>NOT(ISERROR(SEARCH("ENTREGADO",AP88)))</formula>
    </cfRule>
    <cfRule type="containsText" dxfId="1218" priority="2192" operator="containsText" text="PENDIENTE">
      <formula>NOT(ISERROR(SEARCH("PENDIENTE",#REF!)))</formula>
    </cfRule>
    <cfRule type="containsText" dxfId="1217" priority="2191" operator="containsText" text="ENTREGADO">
      <formula>NOT(ISERROR(SEARCH("ENTREGADO",#REF!)))</formula>
    </cfRule>
  </conditionalFormatting>
  <conditionalFormatting sqref="AP89:AQ89">
    <cfRule type="containsText" dxfId="1216" priority="1811" operator="containsText" text="PENDIENTE">
      <formula>NOT(ISERROR(SEARCH("PENDIENTE",#REF!)))</formula>
    </cfRule>
    <cfRule type="containsText" dxfId="1215" priority="1816" operator="containsText" text="ENTREGADO">
      <formula>NOT(ISERROR(SEARCH("ENTREGADO",AP89)))</formula>
    </cfRule>
    <cfRule type="containsText" dxfId="1214" priority="1813" operator="containsText" text="ENTREGADO">
      <formula>NOT(ISERROR(SEARCH("ENTREGADO",AP89)))</formula>
    </cfRule>
    <cfRule type="containsText" dxfId="1213" priority="1812" operator="containsText" text="ENTREGADO">
      <formula>NOT(ISERROR(SEARCH("ENTREGADO",AP89)))</formula>
    </cfRule>
    <cfRule type="containsText" dxfId="1212" priority="1810" operator="containsText" text="ENTREGADO">
      <formula>NOT(ISERROR(SEARCH("ENTREGADO",#REF!)))</formula>
    </cfRule>
    <cfRule type="containsText" dxfId="1211" priority="1814" operator="containsText" text="PENDIENTE">
      <formula>NOT(ISERROR(SEARCH("PENDIENTE",AP89)))</formula>
    </cfRule>
  </conditionalFormatting>
  <conditionalFormatting sqref="AP90:AQ90">
    <cfRule type="containsText" dxfId="1210" priority="1157" operator="containsText" text="ENTREGADO">
      <formula>NOT(ISERROR(SEARCH("ENTREGADO",AP90)))</formula>
    </cfRule>
    <cfRule type="containsText" dxfId="1209" priority="1158" operator="containsText" text="PENDIENTE">
      <formula>NOT(ISERROR(SEARCH("PENDIENTE",AP90)))</formula>
    </cfRule>
    <cfRule type="containsText" dxfId="1208" priority="1160" operator="containsText" text="ENTREGADO">
      <formula>NOT(ISERROR(SEARCH("ENTREGADO",AP90)))</formula>
    </cfRule>
    <cfRule type="containsText" dxfId="1207" priority="1154" operator="containsText" text="ENTREGADO">
      <formula>NOT(ISERROR(SEARCH("ENTREGADO",#REF!)))</formula>
    </cfRule>
    <cfRule type="containsText" dxfId="1206" priority="1155" operator="containsText" text="PENDIENTE">
      <formula>NOT(ISERROR(SEARCH("PENDIENTE",#REF!)))</formula>
    </cfRule>
    <cfRule type="containsText" dxfId="1205" priority="1156" operator="containsText" text="ENTREGADO">
      <formula>NOT(ISERROR(SEARCH("ENTREGADO",AP90)))</formula>
    </cfRule>
  </conditionalFormatting>
  <conditionalFormatting sqref="AP91:AQ91">
    <cfRule type="containsText" dxfId="1204" priority="983" operator="containsText" text="ENTREGADO">
      <formula>NOT(ISERROR(SEARCH("ENTREGADO",AP91)))</formula>
    </cfRule>
    <cfRule type="containsText" dxfId="1203" priority="981" operator="containsText" text="ENTREGADO">
      <formula>NOT(ISERROR(SEARCH("ENTREGADO",#REF!)))</formula>
    </cfRule>
    <cfRule type="containsText" dxfId="1202" priority="982" operator="containsText" text="PENDIENTE">
      <formula>NOT(ISERROR(SEARCH("PENDIENTE",#REF!)))</formula>
    </cfRule>
    <cfRule type="containsText" dxfId="1201" priority="984" operator="containsText" text="ENTREGADO">
      <formula>NOT(ISERROR(SEARCH("ENTREGADO",AP91)))</formula>
    </cfRule>
    <cfRule type="containsText" dxfId="1200" priority="985" operator="containsText" text="PENDIENTE">
      <formula>NOT(ISERROR(SEARCH("PENDIENTE",AP91)))</formula>
    </cfRule>
    <cfRule type="containsText" dxfId="1199" priority="987" operator="containsText" text="ENTREGADO">
      <formula>NOT(ISERROR(SEARCH("ENTREGADO",AP91)))</formula>
    </cfRule>
  </conditionalFormatting>
  <conditionalFormatting sqref="AP92:AQ92">
    <cfRule type="containsText" dxfId="1198" priority="844" operator="containsText" text="PENDIENTE">
      <formula>NOT(ISERROR(SEARCH("PENDIENTE",AP92)))</formula>
    </cfRule>
    <cfRule type="containsText" dxfId="1197" priority="842" operator="containsText" text="ENTREGADO">
      <formula>NOT(ISERROR(SEARCH("ENTREGADO",AP92)))</formula>
    </cfRule>
    <cfRule type="containsText" dxfId="1196" priority="841" operator="containsText" text="PENDIENTE">
      <formula>NOT(ISERROR(SEARCH("PENDIENTE",#REF!)))</formula>
    </cfRule>
    <cfRule type="containsText" dxfId="1195" priority="840" operator="containsText" text="ENTREGADO">
      <formula>NOT(ISERROR(SEARCH("ENTREGADO",#REF!)))</formula>
    </cfRule>
    <cfRule type="containsText" dxfId="1194" priority="843" operator="containsText" text="ENTREGADO">
      <formula>NOT(ISERROR(SEARCH("ENTREGADO",AP92)))</formula>
    </cfRule>
    <cfRule type="containsText" dxfId="1193" priority="846" operator="containsText" text="ENTREGADO">
      <formula>NOT(ISERROR(SEARCH("ENTREGADO",AP92)))</formula>
    </cfRule>
  </conditionalFormatting>
  <conditionalFormatting sqref="AP59:BA59">
    <cfRule type="containsText" dxfId="1192" priority="3444" operator="containsText" text="PRIORIDAD">
      <formula>NOT(ISERROR(SEARCH("PRIORIDAD",AP59)))</formula>
    </cfRule>
  </conditionalFormatting>
  <conditionalFormatting sqref="AP60:BA60">
    <cfRule type="containsText" dxfId="1191" priority="4611" operator="containsText" text="PRIORIDAD">
      <formula>NOT(ISERROR(SEARCH("PRIORIDAD",AP60)))</formula>
    </cfRule>
  </conditionalFormatting>
  <conditionalFormatting sqref="AP61:BA61">
    <cfRule type="containsText" dxfId="1190" priority="4472" operator="containsText" text="PRIORIDAD">
      <formula>NOT(ISERROR(SEARCH("PRIORIDAD",AP61)))</formula>
    </cfRule>
  </conditionalFormatting>
  <conditionalFormatting sqref="AP75:BA75">
    <cfRule type="containsText" dxfId="1189" priority="4749" operator="containsText" text="PRIORIDAD">
      <formula>NOT(ISERROR(SEARCH("PRIORIDAD",AP75)))</formula>
    </cfRule>
  </conditionalFormatting>
  <conditionalFormatting sqref="AP76:BA76 AP80:BA81 AP83:BA84">
    <cfRule type="containsText" dxfId="1188" priority="2867" operator="containsText" text="PRIORIDAD">
      <formula>NOT(ISERROR(SEARCH("PRIORIDAD",AP76)))</formula>
    </cfRule>
  </conditionalFormatting>
  <conditionalFormatting sqref="AP82:BA82">
    <cfRule type="containsText" dxfId="1187" priority="1322" operator="containsText" text="PRIORIDAD">
      <formula>NOT(ISERROR(SEARCH("PRIORIDAD",AP82)))</formula>
    </cfRule>
  </conditionalFormatting>
  <conditionalFormatting sqref="AP85:BA85">
    <cfRule type="containsText" dxfId="1186" priority="2609" operator="containsText" text="PRIORIDAD">
      <formula>NOT(ISERROR(SEARCH("PRIORIDAD",AP85)))</formula>
    </cfRule>
  </conditionalFormatting>
  <conditionalFormatting sqref="AP86:BA86">
    <cfRule type="containsText" dxfId="1185" priority="2454" operator="containsText" text="PRIORIDAD">
      <formula>NOT(ISERROR(SEARCH("PRIORIDAD",AP86)))</formula>
    </cfRule>
  </conditionalFormatting>
  <conditionalFormatting sqref="AP87:BA87">
    <cfRule type="containsText" dxfId="1184" priority="2325" operator="containsText" text="PRIORIDAD">
      <formula>NOT(ISERROR(SEARCH("PRIORIDAD",AP87)))</formula>
    </cfRule>
  </conditionalFormatting>
  <conditionalFormatting sqref="AP88:BA88">
    <cfRule type="containsText" dxfId="1183" priority="2196" operator="containsText" text="PRIORIDAD">
      <formula>NOT(ISERROR(SEARCH("PRIORIDAD",AP88)))</formula>
    </cfRule>
  </conditionalFormatting>
  <conditionalFormatting sqref="AP89:BA89">
    <cfRule type="containsText" dxfId="1182" priority="1815" operator="containsText" text="PRIORIDAD">
      <formula>NOT(ISERROR(SEARCH("PRIORIDAD",AP89)))</formula>
    </cfRule>
  </conditionalFormatting>
  <conditionalFormatting sqref="AP90:BA90">
    <cfRule type="containsText" dxfId="1181" priority="1159" operator="containsText" text="PRIORIDAD">
      <formula>NOT(ISERROR(SEARCH("PRIORIDAD",AP90)))</formula>
    </cfRule>
  </conditionalFormatting>
  <conditionalFormatting sqref="AP91:BA91">
    <cfRule type="containsText" dxfId="1180" priority="986" operator="containsText" text="PRIORIDAD">
      <formula>NOT(ISERROR(SEARCH("PRIORIDAD",AP91)))</formula>
    </cfRule>
  </conditionalFormatting>
  <conditionalFormatting sqref="AP92:BA92">
    <cfRule type="containsText" dxfId="1179" priority="845" operator="containsText" text="PRIORIDAD">
      <formula>NOT(ISERROR(SEARCH("PRIORIDAD",AP92)))</formula>
    </cfRule>
  </conditionalFormatting>
  <conditionalFormatting sqref="AR25:AW26 BD25:BG32 AD26:AG26 AI26:AL26 AN26:AO26 BB26">
    <cfRule type="containsText" dxfId="1178" priority="6325" operator="containsText" text="ENTREGADO">
      <formula>NOT(ISERROR(SEARCH("ENTREGADO",AD25)))</formula>
    </cfRule>
  </conditionalFormatting>
  <conditionalFormatting sqref="AR31:BA31">
    <cfRule type="containsText" dxfId="1177" priority="5089" operator="containsText" text="PRIORIDAD">
      <formula>NOT(ISERROR(SEARCH("PRIORIDAD",AR31)))</formula>
    </cfRule>
  </conditionalFormatting>
  <conditionalFormatting sqref="AR41:BA41 AN41:AO41 AI41:AL41 AD41:AG41">
    <cfRule type="containsText" dxfId="1176" priority="3912" operator="containsText" text="ENTREGADO">
      <formula>NOT(ISERROR(SEARCH("ENTREGADO",#REF!)))</formula>
    </cfRule>
    <cfRule type="containsText" dxfId="1175" priority="3914" operator="containsText" text="ENTREGADO">
      <formula>NOT(ISERROR(SEARCH("ENTREGADO",#REF!)))</formula>
    </cfRule>
    <cfRule type="containsText" dxfId="1174" priority="3913" operator="containsText" text="PENDIENTE">
      <formula>NOT(ISERROR(SEARCH("PENDIENTE",#REF!)))</formula>
    </cfRule>
  </conditionalFormatting>
  <conditionalFormatting sqref="AR45:BA45 A50 AD50:AG50 AI50:AL50 AN50:AO50 T54 V54:X54 BB54:XFD54 AR50:BA50 AN54:AO54 AI54:AL54 AD54:AG54 A54">
    <cfRule type="containsText" dxfId="1173" priority="7854" operator="containsText" text="ENTREGADO">
      <formula>NOT(ISERROR(SEARCH("ENTREGADO",A45)))</formula>
    </cfRule>
  </conditionalFormatting>
  <conditionalFormatting sqref="AR45:BA49">
    <cfRule type="containsText" dxfId="1172" priority="4361" operator="containsText" text="PRIORIDAD">
      <formula>NOT(ISERROR(SEARCH("PRIORIDAD",AR45)))</formula>
    </cfRule>
  </conditionalFormatting>
  <conditionalFormatting sqref="AR46:BA49">
    <cfRule type="containsText" dxfId="1171" priority="4373" operator="containsText" text="ENTREGADO">
      <formula>NOT(ISERROR(SEARCH("ENTREGADO",AR46)))</formula>
    </cfRule>
  </conditionalFormatting>
  <conditionalFormatting sqref="AR56:BA56 AI56:AL56 AN56:AO56 AD56:AG56">
    <cfRule type="containsText" dxfId="1170" priority="6988" operator="containsText" text="ENTREGADO">
      <formula>NOT(ISERROR(SEARCH("ENTREGADO",AD56)))</formula>
    </cfRule>
  </conditionalFormatting>
  <conditionalFormatting sqref="AR58:BA58 BC58 BH58:XFD58 AI58:AL58 AN58:AO58 AD58:AG58">
    <cfRule type="containsText" dxfId="1169" priority="9065" operator="containsText" text="ENTREGADO">
      <formula>NOT(ISERROR(SEARCH("ENTREGADO",AD58)))</formula>
    </cfRule>
  </conditionalFormatting>
  <conditionalFormatting sqref="AR59:BA59 BC59 BH59:XFD59 AI59:AL59 AN59:AO59 AD59:AG59">
    <cfRule type="containsText" dxfId="1168" priority="3526" operator="containsText" text="ENTREGADO">
      <formula>NOT(ISERROR(SEARCH("ENTREGADO",AD59)))</formula>
    </cfRule>
  </conditionalFormatting>
  <conditionalFormatting sqref="AR60:BA60 BC60 BH60:XFD60 AI60:AL60 AN60:AO60 AD60:AG60">
    <cfRule type="containsText" dxfId="1167" priority="4693" operator="containsText" text="ENTREGADO">
      <formula>NOT(ISERROR(SEARCH("ENTREGADO",AD60)))</formula>
    </cfRule>
  </conditionalFormatting>
  <conditionalFormatting sqref="AR61:BA61 BC61 BH61:XFD61 AI61:AL61 AN61:AO61 AD61:AG61">
    <cfRule type="containsText" dxfId="1166" priority="4554" operator="containsText" text="ENTREGADO">
      <formula>NOT(ISERROR(SEARCH("ENTREGADO",AD61)))</formula>
    </cfRule>
  </conditionalFormatting>
  <conditionalFormatting sqref="AR75:BA75 BC75 BH75:XFD75 AI75:AL75 AN75:AO75 AD75:AG75">
    <cfRule type="containsText" dxfId="1165" priority="4832" operator="containsText" text="ENTREGADO">
      <formula>NOT(ISERROR(SEARCH("ENTREGADO",AD75)))</formula>
    </cfRule>
  </conditionalFormatting>
  <conditionalFormatting sqref="AR76:BA76 BC76 BH76:XFD76 AI76:AL76 AN76:AO76 AD76:AG76 AD81 AN80:AO81 AI80:AL81 BH80:XFD81 BC80:BC81 AR80:BA81 AR83:BA84 BC83:BC84 BH83:XFD84 AI83:AL84 AN83:AO84 AD83:AD84 AG83:AG84 AG80:AG81">
    <cfRule type="containsText" dxfId="1164" priority="2941" operator="containsText" text="ENTREGADO">
      <formula>NOT(ISERROR(SEARCH("ENTREGADO",AD76)))</formula>
    </cfRule>
  </conditionalFormatting>
  <conditionalFormatting sqref="AR77:BA77 AN77:AO77 AI77:AL77 AD77:AG77">
    <cfRule type="containsText" dxfId="1163" priority="2162" operator="containsText" text="ENTREGADO">
      <formula>NOT(ISERROR(SEARCH("ENTREGADO",#REF!)))</formula>
    </cfRule>
    <cfRule type="containsText" dxfId="1162" priority="2163" operator="containsText" text="PENDIENTE">
      <formula>NOT(ISERROR(SEARCH("PENDIENTE",#REF!)))</formula>
    </cfRule>
    <cfRule type="containsText" dxfId="1161" priority="2164" operator="containsText" text="ENTREGADO">
      <formula>NOT(ISERROR(SEARCH("ENTREGADO",#REF!)))</formula>
    </cfRule>
  </conditionalFormatting>
  <conditionalFormatting sqref="AR78:BA78 BC78 BH78:XFD78 AI78:AL78 AN78:AO78 AD78:AG78">
    <cfRule type="containsText" dxfId="1160" priority="1642" operator="containsText" text="ENTREGADO">
      <formula>NOT(ISERROR(SEARCH("ENTREGADO",AD78)))</formula>
    </cfRule>
  </conditionalFormatting>
  <conditionalFormatting sqref="AR82:BA82 AN82:AO82 AI82:AL82 A82 BH82:XFD82 BC82 AD82 V82:X82 T82 AG82">
    <cfRule type="containsText" dxfId="1159" priority="1384" operator="containsText" text="PENDIENTE">
      <formula>NOT(ISERROR(SEARCH("PENDIENTE",#REF!)))</formula>
    </cfRule>
  </conditionalFormatting>
  <conditionalFormatting sqref="AR82:BA82 AN82:AO82 AI82:AL82 BH82:XFD82 BC82 AD82 V82:X82 T82 AG82">
    <cfRule type="containsText" dxfId="1158" priority="1378" operator="containsText" text="ENTREGADO">
      <formula>NOT(ISERROR(SEARCH("ENTREGADO",#REF!)))</formula>
    </cfRule>
  </conditionalFormatting>
  <conditionalFormatting sqref="AR85:BA85 BC85 BH85:XFD85 AI85:AL85 AN85:AO85 AD85 AG85">
    <cfRule type="containsText" dxfId="1157" priority="2683" operator="containsText" text="ENTREGADO">
      <formula>NOT(ISERROR(SEARCH("ENTREGADO",AD85)))</formula>
    </cfRule>
  </conditionalFormatting>
  <conditionalFormatting sqref="AR86:BA86 BC86 BH86:XFD86 AI86:AL86 AN86:AO86 AD86 AG86">
    <cfRule type="containsText" dxfId="1156" priority="2528" operator="containsText" text="ENTREGADO">
      <formula>NOT(ISERROR(SEARCH("ENTREGADO",AD86)))</formula>
    </cfRule>
  </conditionalFormatting>
  <conditionalFormatting sqref="AR87:BA87 BC87 BH87:XFD87 AI87:AL87 AN87:AO87 AD87 AG87">
    <cfRule type="containsText" dxfId="1155" priority="2399" operator="containsText" text="ENTREGADO">
      <formula>NOT(ISERROR(SEARCH("ENTREGADO",AD87)))</formula>
    </cfRule>
  </conditionalFormatting>
  <conditionalFormatting sqref="AR88:BA88 BC88 BH88:XFD88 AI88:AL88 AN88:AO88 AD88 AG88">
    <cfRule type="containsText" dxfId="1154" priority="2270" operator="containsText" text="ENTREGADO">
      <formula>NOT(ISERROR(SEARCH("ENTREGADO",AD88)))</formula>
    </cfRule>
  </conditionalFormatting>
  <conditionalFormatting sqref="AR89:BA89 BC89 BH89:XFD89 AI89:AL89 AN89:AO89 AD89 AG89">
    <cfRule type="containsText" dxfId="1153" priority="1889" operator="containsText" text="ENTREGADO">
      <formula>NOT(ISERROR(SEARCH("ENTREGADO",AD89)))</formula>
    </cfRule>
  </conditionalFormatting>
  <conditionalFormatting sqref="AR90:BA90 BC90 BH90:XFD90 AI90:AL90 AN90:AO90 AD90 AG90">
    <cfRule type="containsText" dxfId="1152" priority="1214" operator="containsText" text="ENTREGADO">
      <formula>NOT(ISERROR(SEARCH("ENTREGADO",AD90)))</formula>
    </cfRule>
  </conditionalFormatting>
  <conditionalFormatting sqref="AR91:BA91 BC91 BH91:XFD91 AI91:AL91 AN91:AO91 AD91 AG91">
    <cfRule type="containsText" dxfId="1151" priority="1034" operator="containsText" text="ENTREGADO">
      <formula>NOT(ISERROR(SEARCH("ENTREGADO",AD91)))</formula>
    </cfRule>
  </conditionalFormatting>
  <conditionalFormatting sqref="AR92:BA92 BC92 BH92:XFD92 AI92:AL92 AN92:AO92 AD92 AG92">
    <cfRule type="containsText" dxfId="1150" priority="893" operator="containsText" text="ENTREGADO">
      <formula>NOT(ISERROR(SEARCH("ENTREGADO",AD92)))</formula>
    </cfRule>
  </conditionalFormatting>
  <conditionalFormatting sqref="AR57:BC57 C3:D3 G3:N4 F3:F7 C5:D6 C8:D22 BD18:BG22 F31:H31 J31:N31 F37:H37 J35:N38 T57:X57 AD57:AG57 AI57:AL57 AN57:AO57 BH57:XFD57 K71:N71 F9:F16 K10:K17 M10:N17 F18:F22 C42:H45 J42:N45 A57 G38:H38 G35:H36 J50:N50 F50:H50 C50:D50">
    <cfRule type="containsText" dxfId="1149" priority="27162" operator="containsText" text="PENDIENTE">
      <formula>NOT(ISERROR(SEARCH("PENDIENTE",#REF!)))</formula>
    </cfRule>
  </conditionalFormatting>
  <conditionalFormatting sqref="AR24:BG26 T25:T26 AD25:AG26 AI25:AL26 AN25:AO26">
    <cfRule type="containsText" dxfId="1148" priority="6301" operator="containsText" text="PRIORIDAD">
      <formula>NOT(ISERROR(SEARCH("PRIORIDAD",T24)))</formula>
    </cfRule>
  </conditionalFormatting>
  <conditionalFormatting sqref="AV4">
    <cfRule type="containsText" dxfId="1147" priority="18752" operator="containsText" text="ENTREGADO">
      <formula>NOT(ISERROR(SEARCH("ENTREGADO",AV4)))</formula>
    </cfRule>
    <cfRule type="containsText" dxfId="1146" priority="18751" operator="containsText" text="ENTREGADO">
      <formula>NOT(ISERROR(SEARCH("ENTREGADO",AV4)))</formula>
    </cfRule>
    <cfRule type="containsText" dxfId="1145" priority="18750" operator="containsText" text="PENDIENTE">
      <formula>NOT(ISERROR(SEARCH("PENDIENTE",#REF!)))</formula>
    </cfRule>
    <cfRule type="containsText" dxfId="1144" priority="18758" operator="containsText" text="ENTREGADO">
      <formula>NOT(ISERROR(SEARCH("ENTREGADO",#REF!)))</formula>
    </cfRule>
    <cfRule type="containsText" dxfId="1143" priority="18812" operator="containsText" text="PENDIENTE">
      <formula>NOT(ISERROR(SEARCH("PENDIENTE",#REF!)))</formula>
    </cfRule>
    <cfRule type="containsText" dxfId="1142" priority="18813" operator="containsText" text="PENDIENTE">
      <formula>NOT(ISERROR(SEARCH("PENDIENTE",AV4)))</formula>
    </cfRule>
    <cfRule type="containsText" dxfId="1141" priority="18749" operator="containsText" text="PENDIENTE">
      <formula>NOT(ISERROR(SEARCH("PENDIENTE",AV4)))</formula>
    </cfRule>
    <cfRule type="containsText" dxfId="1140" priority="18797" operator="containsText" text="ENTREGADO">
      <formula>NOT(ISERROR(SEARCH("ENTREGADO",AV4)))</formula>
    </cfRule>
    <cfRule type="containsText" dxfId="1139" priority="18761" operator="containsText" text="PENDIENTE">
      <formula>NOT(ISERROR(SEARCH("PENDIENTE",AV4)))</formula>
    </cfRule>
    <cfRule type="containsText" dxfId="1138" priority="6399" operator="containsText" text="ENTREGADO">
      <formula>NOT(ISERROR(SEARCH("ENTREGADO",AV4)))</formula>
    </cfRule>
    <cfRule type="containsText" dxfId="1137" priority="18756" operator="containsText" text="ENTREGADO">
      <formula>NOT(ISERROR(SEARCH("ENTREGADO",AV4)))</formula>
    </cfRule>
    <cfRule type="containsText" dxfId="1136" priority="6398" operator="containsText" text="ENTREGADO">
      <formula>NOT(ISERROR(SEARCH("ENTREGADO",AV4)))</formula>
    </cfRule>
    <cfRule type="containsText" dxfId="1135" priority="18755" operator="containsText" text="PENDIENTE">
      <formula>NOT(ISERROR(SEARCH("PENDIENTE",AV4)))</formula>
    </cfRule>
    <cfRule type="containsText" dxfId="1134" priority="6397" operator="containsText" text="PENDIENTE">
      <formula>NOT(ISERROR(SEARCH("PENDIENTE",#REF!)))</formula>
    </cfRule>
    <cfRule type="containsText" dxfId="1133" priority="18754" operator="containsText" text="PENDIENTE">
      <formula>NOT(ISERROR(SEARCH("PENDIENTE",#REF!)))</formula>
    </cfRule>
    <cfRule type="containsText" dxfId="1132" priority="18753" operator="containsText" text="PRIORIDAD">
      <formula>NOT(ISERROR(SEARCH("PRIORIDAD",AV4)))</formula>
    </cfRule>
    <cfRule type="containsText" dxfId="1131" priority="6396" operator="containsText" text="ENTREGADO">
      <formula>NOT(ISERROR(SEARCH("ENTREGADO",#REF!)))</formula>
    </cfRule>
    <cfRule type="containsText" dxfId="1130" priority="18759" operator="containsText" text="ENTREGADO">
      <formula>NOT(ISERROR(SEARCH("ENTREGADO",AV4)))</formula>
    </cfRule>
    <cfRule type="containsText" dxfId="1129" priority="18760" operator="containsText" text="PENDIENTE">
      <formula>NOT(ISERROR(SEARCH("PENDIENTE",#REF!)))</formula>
    </cfRule>
    <cfRule type="containsText" dxfId="1128" priority="18762" operator="containsText" text="ENTREGADO">
      <formula>NOT(ISERROR(SEARCH("ENTREGADO",AV4)))</formula>
    </cfRule>
    <cfRule type="containsText" dxfId="1127" priority="18763" operator="containsText" text="ENTREGADO">
      <formula>NOT(ISERROR(SEARCH("ENTREGADO",#REF!)))</formula>
    </cfRule>
    <cfRule type="containsText" dxfId="1126" priority="18814" operator="containsText" text="ENTREGADO">
      <formula>NOT(ISERROR(SEARCH("ENTREGADO",AV4)))</formula>
    </cfRule>
  </conditionalFormatting>
  <conditionalFormatting sqref="AV27:AV30">
    <cfRule type="containsText" dxfId="1125" priority="12317" operator="containsText" text="ENTREGADO">
      <formula>NOT(ISERROR(SEARCH("ENTREGADO",AV27)))</formula>
    </cfRule>
    <cfRule type="containsText" dxfId="1124" priority="12332" operator="containsText" text="PENDIENTE">
      <formula>NOT(ISERROR(SEARCH("PENDIENTE",#REF!)))</formula>
    </cfRule>
    <cfRule type="containsText" dxfId="1123" priority="12333" operator="containsText" text="PENDIENTE">
      <formula>NOT(ISERROR(SEARCH("PENDIENTE",AV27)))</formula>
    </cfRule>
    <cfRule type="containsText" dxfId="1122" priority="12334" operator="containsText" text="ENTREGADO">
      <formula>NOT(ISERROR(SEARCH("ENTREGADO",AV27)))</formula>
    </cfRule>
  </conditionalFormatting>
  <conditionalFormatting sqref="AV32 AV34">
    <cfRule type="containsText" dxfId="1121" priority="19910" operator="containsText" text="PENDIENTE">
      <formula>NOT(ISERROR(SEARCH("PENDIENTE",AV32)))</formula>
    </cfRule>
    <cfRule type="containsText" dxfId="1120" priority="19909" operator="containsText" text="PENDIENTE">
      <formula>NOT(ISERROR(SEARCH("PENDIENTE",#REF!)))</formula>
    </cfRule>
    <cfRule type="containsText" dxfId="1119" priority="19894" operator="containsText" text="ENTREGADO">
      <formula>NOT(ISERROR(SEARCH("ENTREGADO",AV32)))</formula>
    </cfRule>
  </conditionalFormatting>
  <conditionalFormatting sqref="AV32">
    <cfRule type="containsText" dxfId="1118" priority="19911" operator="containsText" text="ENTREGADO">
      <formula>NOT(ISERROR(SEARCH("ENTREGADO",AV32)))</formula>
    </cfRule>
  </conditionalFormatting>
  <conditionalFormatting sqref="AV34">
    <cfRule type="containsText" dxfId="1117" priority="20263" operator="containsText" text="ENTREGADO">
      <formula>NOT(ISERROR(SEARCH("ENTREGADO",AV34)))</formula>
    </cfRule>
  </conditionalFormatting>
  <conditionalFormatting sqref="AV39">
    <cfRule type="containsText" dxfId="1116" priority="4235" operator="containsText" text="ENTREGADO">
      <formula>NOT(ISERROR(SEARCH("ENTREGADO",AV39)))</formula>
    </cfRule>
    <cfRule type="containsText" dxfId="1115" priority="4248" operator="containsText" text="PENDIENTE">
      <formula>NOT(ISERROR(SEARCH("PENDIENTE",#REF!)))</formula>
    </cfRule>
    <cfRule type="containsText" dxfId="1114" priority="4250" operator="containsText" text="ENTREGADO">
      <formula>NOT(ISERROR(SEARCH("ENTREGADO",AV39)))</formula>
    </cfRule>
    <cfRule type="containsText" dxfId="1113" priority="4249" operator="containsText" text="PENDIENTE">
      <formula>NOT(ISERROR(SEARCH("PENDIENTE",AV39)))</formula>
    </cfRule>
  </conditionalFormatting>
  <conditionalFormatting sqref="AV40">
    <cfRule type="containsText" dxfId="1112" priority="7252" operator="containsText" text="ENTREGADO">
      <formula>NOT(ISERROR(SEARCH("ENTREGADO",AV40)))</formula>
    </cfRule>
    <cfRule type="containsText" dxfId="1111" priority="7267" operator="containsText" text="PENDIENTE">
      <formula>NOT(ISERROR(SEARCH("PENDIENTE",#REF!)))</formula>
    </cfRule>
    <cfRule type="containsText" dxfId="1110" priority="7268" operator="containsText" text="PENDIENTE">
      <formula>NOT(ISERROR(SEARCH("PENDIENTE",AV40)))</formula>
    </cfRule>
    <cfRule type="containsText" dxfId="1109" priority="7269" operator="containsText" text="ENTREGADO">
      <formula>NOT(ISERROR(SEARCH("ENTREGADO",AV40)))</formula>
    </cfRule>
  </conditionalFormatting>
  <conditionalFormatting sqref="AV41">
    <cfRule type="containsText" dxfId="1108" priority="3787" operator="containsText" text="ENTREGADO">
      <formula>NOT(ISERROR(SEARCH("ENTREGADO",AV41)))</formula>
    </cfRule>
    <cfRule type="containsText" dxfId="1107" priority="3885" operator="containsText" text="ENTREGADO">
      <formula>NOT(ISERROR(SEARCH("ENTREGADO",AV41)))</formula>
    </cfRule>
    <cfRule type="containsText" dxfId="1106" priority="3789" operator="containsText" text="PENDIENTE">
      <formula>NOT(ISERROR(SEARCH("PENDIENTE",#REF!)))</formula>
    </cfRule>
    <cfRule type="containsText" dxfId="1105" priority="3790" operator="containsText" text="PENDIENTE">
      <formula>NOT(ISERROR(SEARCH("PENDIENTE",AV41)))</formula>
    </cfRule>
  </conditionalFormatting>
  <conditionalFormatting sqref="AV57">
    <cfRule type="containsText" dxfId="1104" priority="299" operator="containsText" text="PENDIENTE">
      <formula>NOT(ISERROR(SEARCH("PENDIENTE",AV57)))</formula>
    </cfRule>
    <cfRule type="containsText" dxfId="1103" priority="297" operator="containsText" text="ENTREGADO">
      <formula>NOT(ISERROR(SEARCH("ENTREGADO",AV57)))</formula>
    </cfRule>
    <cfRule type="containsText" dxfId="1102" priority="295" operator="containsText" text="ENTREGADO">
      <formula>NOT(ISERROR(SEARCH("ENTREGADO",#REF!)))</formula>
    </cfRule>
    <cfRule type="containsText" dxfId="1101" priority="296" operator="containsText" text="ENTREGADO">
      <formula>NOT(ISERROR(SEARCH("ENTREGADO",AV57)))</formula>
    </cfRule>
    <cfRule type="containsText" dxfId="1100" priority="298" operator="containsText" text="PENDIENTE">
      <formula>NOT(ISERROR(SEARCH("PENDIENTE",#REF!)))</formula>
    </cfRule>
    <cfRule type="containsText" dxfId="1099" priority="300" operator="containsText" text="ENTREGADO">
      <formula>NOT(ISERROR(SEARCH("ENTREGADO",AV57)))</formula>
    </cfRule>
  </conditionalFormatting>
  <conditionalFormatting sqref="AV77">
    <cfRule type="containsText" dxfId="1098" priority="2093" operator="containsText" text="ENTREGADO">
      <formula>NOT(ISERROR(SEARCH("ENTREGADO",AV77)))</formula>
    </cfRule>
    <cfRule type="containsText" dxfId="1097" priority="2096" operator="containsText" text="PENDIENTE">
      <formula>NOT(ISERROR(SEARCH("PENDIENTE",AV77)))</formula>
    </cfRule>
    <cfRule type="containsText" dxfId="1096" priority="2135" operator="containsText" text="ENTREGADO">
      <formula>NOT(ISERROR(SEARCH("ENTREGADO",AV77)))</formula>
    </cfRule>
    <cfRule type="containsText" dxfId="1095" priority="2095" operator="containsText" text="PENDIENTE">
      <formula>NOT(ISERROR(SEARCH("PENDIENTE",#REF!)))</formula>
    </cfRule>
  </conditionalFormatting>
  <conditionalFormatting sqref="AX31">
    <cfRule type="containsText" dxfId="1094" priority="5094" operator="containsText" text="PENDIENTE">
      <formula>NOT(ISERROR(SEARCH("PENDIENTE",AX31)))</formula>
    </cfRule>
    <cfRule type="containsText" dxfId="1093" priority="5092" operator="containsText" text="PENDIENTE">
      <formula>NOT(ISERROR(SEARCH("PENDIENTE",AX31)))</formula>
    </cfRule>
    <cfRule type="containsText" dxfId="1092" priority="5088" operator="containsText" text="PENDIENTE">
      <formula>NOT(ISERROR(SEARCH("PENDIENTE",AX31)))</formula>
    </cfRule>
    <cfRule type="containsText" dxfId="1091" priority="5090" operator="containsText" text="ENTREGADO">
      <formula>NOT(ISERROR(SEARCH("ENTREGADO",AX31)))</formula>
    </cfRule>
    <cfRule type="containsText" dxfId="1090" priority="5087" operator="containsText" text="PENDIENTE">
      <formula>NOT(ISERROR(SEARCH("PENDIENTE",#REF!)))</formula>
    </cfRule>
    <cfRule type="containsText" dxfId="1089" priority="5093" operator="containsText" text="ENTREGADO">
      <formula>NOT(ISERROR(SEARCH("ENTREGADO",AX31)))</formula>
    </cfRule>
    <cfRule type="containsText" dxfId="1088" priority="5086" operator="containsText" text="ENTREGADO">
      <formula>NOT(ISERROR(SEARCH("ENTREGADO",#REF!)))</formula>
    </cfRule>
    <cfRule type="containsText" dxfId="1087" priority="5095" operator="containsText" text="ENTREGADO">
      <formula>NOT(ISERROR(SEARCH("ENTREGADO",AX31)))</formula>
    </cfRule>
    <cfRule type="containsText" dxfId="1086" priority="5091" operator="containsText" text="ENTREGADO">
      <formula>NOT(ISERROR(SEARCH("ENTREGADO",AX31)))</formula>
    </cfRule>
    <cfRule type="containsText" dxfId="1085" priority="5084" operator="containsText" text="ENTREGADO">
      <formula>NOT(ISERROR(SEARCH("ENTREGADO",#REF!)))</formula>
    </cfRule>
    <cfRule type="containsText" dxfId="1084" priority="5085" operator="containsText" text="PENDIENTE">
      <formula>NOT(ISERROR(SEARCH("PENDIENTE",#REF!)))</formula>
    </cfRule>
  </conditionalFormatting>
  <conditionalFormatting sqref="AX28:BA28 BC28 BH28:XFD28">
    <cfRule type="containsText" dxfId="1083" priority="23196" operator="containsText" text="ENTREGADO">
      <formula>NOT(ISERROR(SEARCH("ENTREGADO",AX28)))</formula>
    </cfRule>
    <cfRule type="containsText" dxfId="1082" priority="23198" operator="containsText" text="PENDIENTE">
      <formula>NOT(ISERROR(SEARCH("PENDIENTE",AX28)))</formula>
    </cfRule>
    <cfRule type="containsText" dxfId="1081" priority="23177" operator="containsText" text="ENTREGADO">
      <formula>NOT(ISERROR(SEARCH("ENTREGADO",AX28)))</formula>
    </cfRule>
    <cfRule type="containsText" dxfId="1080" priority="23178" operator="containsText" text="PENDIENTE">
      <formula>NOT(ISERROR(SEARCH("PENDIENTE",AX28)))</formula>
    </cfRule>
    <cfRule type="containsText" dxfId="1079" priority="23199" operator="containsText" text="ENTREGADO">
      <formula>NOT(ISERROR(SEARCH("ENTREGADO",AX28)))</formula>
    </cfRule>
  </conditionalFormatting>
  <conditionalFormatting sqref="AX7:BC7 T19 AX19:BC19 BH19:XFD19 BH6:XFD7 T7">
    <cfRule type="containsText" dxfId="1078" priority="14449" operator="containsText" text="ENTREGADO">
      <formula>NOT(ISERROR(SEARCH("ENTREGADO",T6)))</formula>
    </cfRule>
  </conditionalFormatting>
  <conditionalFormatting sqref="AX7:BC7 AX19:BC19 E6:E7 G6:I6 T6:X6 BH6:XFD7 C7 G7:H7 T7 A19 G19:H19 T19 BH19:XFD19">
    <cfRule type="containsText" dxfId="1077" priority="14464" operator="containsText" text="PRIORIDAD">
      <formula>NOT(ISERROR(SEARCH("PRIORIDAD",A6)))</formula>
    </cfRule>
  </conditionalFormatting>
  <conditionalFormatting sqref="AX7:BC7">
    <cfRule type="containsText" dxfId="1076" priority="14448" operator="containsText" text="ENTREGADO">
      <formula>NOT(ISERROR(SEARCH("ENTREGADO",AX7)))</formula>
    </cfRule>
  </conditionalFormatting>
  <conditionalFormatting sqref="AX18:BC18 A18 G18:H18 T18 BH18:XFD18">
    <cfRule type="containsText" dxfId="1075" priority="10394" operator="containsText" text="PRIORIDAD">
      <formula>NOT(ISERROR(SEARCH("PRIORIDAD",A18)))</formula>
    </cfRule>
  </conditionalFormatting>
  <conditionalFormatting sqref="AX18:BC18 T18 BH18:XFD18">
    <cfRule type="containsText" dxfId="1074" priority="10379" operator="containsText" text="ENTREGADO">
      <formula>NOT(ISERROR(SEARCH("ENTREGADO",T18)))</formula>
    </cfRule>
  </conditionalFormatting>
  <conditionalFormatting sqref="AX18:BC18">
    <cfRule type="containsText" dxfId="1073" priority="10378" operator="containsText" text="ENTREGADO">
      <formula>NOT(ISERROR(SEARCH("ENTREGADO",AX18)))</formula>
    </cfRule>
  </conditionalFormatting>
  <conditionalFormatting sqref="AX19:BC20 BH19:XFD20 A20 G20:H20 T20">
    <cfRule type="containsText" dxfId="1072" priority="13796" operator="containsText" text="ENTREGADO">
      <formula>NOT(ISERROR(SEARCH("ENTREGADO",A19)))</formula>
    </cfRule>
  </conditionalFormatting>
  <conditionalFormatting sqref="AX20:BC20 A20 T20 BH20:XFD20 G20:H20">
    <cfRule type="containsText" dxfId="1071" priority="13795" operator="containsText" text="PRIORIDAD">
      <formula>NOT(ISERROR(SEARCH("PRIORIDAD",A20)))</formula>
    </cfRule>
  </conditionalFormatting>
  <conditionalFormatting sqref="AX21:BC21 A21 T21 BH21:XFD21 G21:H21">
    <cfRule type="containsText" dxfId="1070" priority="12724" operator="containsText" text="PRIORIDAD">
      <formula>NOT(ISERROR(SEARCH("PRIORIDAD",A21)))</formula>
    </cfRule>
  </conditionalFormatting>
  <conditionalFormatting sqref="AX22:BC22 A22 G22:H22 T22 BH22:XFD22">
    <cfRule type="containsText" dxfId="1069" priority="10783" operator="containsText" text="PRIORIDAD">
      <formula>NOT(ISERROR(SEARCH("PRIORIDAD",A22)))</formula>
    </cfRule>
  </conditionalFormatting>
  <conditionalFormatting sqref="AX22:BC23 BH22:XFD23 A23 G23:H23 T23">
    <cfRule type="containsText" dxfId="1068" priority="6913" operator="containsText" text="ENTREGADO">
      <formula>NOT(ISERROR(SEARCH("ENTREGADO",A22)))</formula>
    </cfRule>
  </conditionalFormatting>
  <conditionalFormatting sqref="AX23:BC23 G23:H23 T23:T24 A23:A26 BH23:XFD26">
    <cfRule type="containsText" dxfId="1067" priority="6912" operator="containsText" text="PRIORIDAD">
      <formula>NOT(ISERROR(SEARCH("PRIORIDAD",A23)))</formula>
    </cfRule>
  </conditionalFormatting>
  <conditionalFormatting sqref="AX23:XFD23 T23">
    <cfRule type="containsText" dxfId="1066" priority="6898" operator="containsText" text="ENTREGADO">
      <formula>NOT(ISERROR(SEARCH("ENTREGADO",T23)))</formula>
    </cfRule>
  </conditionalFormatting>
  <conditionalFormatting sqref="AX23:XFD23">
    <cfRule type="containsText" dxfId="1065" priority="6897" operator="containsText" text="ENTREGADO">
      <formula>NOT(ISERROR(SEARCH("ENTREGADO",AX23)))</formula>
    </cfRule>
  </conditionalFormatting>
  <conditionalFormatting sqref="BB3">
    <cfRule type="containsText" dxfId="1064" priority="21187" operator="containsText" text="PENDIENTE">
      <formula>NOT(ISERROR(SEARCH("PENDIENTE",#REF!)))</formula>
    </cfRule>
    <cfRule type="containsText" dxfId="1063" priority="5096" operator="containsText" text="PENDIENTE">
      <formula>NOT(ISERROR(SEARCH("PENDIENTE",BB3)))</formula>
    </cfRule>
    <cfRule type="containsText" dxfId="1062" priority="21170" operator="containsText" text="ENTREGADO">
      <formula>NOT(ISERROR(SEARCH("ENTREGADO",BB3)))</formula>
    </cfRule>
    <cfRule type="containsText" dxfId="1061" priority="5098" operator="containsText" text="PENDIENTE">
      <formula>NOT(ISERROR(SEARCH("PENDIENTE",#REF!)))</formula>
    </cfRule>
    <cfRule type="containsText" dxfId="1060" priority="21192" operator="containsText" text="PENDIENTE">
      <formula>NOT(ISERROR(SEARCH("PENDIENTE",BB3)))</formula>
    </cfRule>
    <cfRule type="containsText" dxfId="1059" priority="5097" operator="containsText" text="ENTREGADO">
      <formula>NOT(ISERROR(SEARCH("ENTREGADO",BB3)))</formula>
    </cfRule>
    <cfRule type="containsText" dxfId="1058" priority="21191" operator="containsText" text="ENTREGADO">
      <formula>NOT(ISERROR(SEARCH("ENTREGADO",BB3)))</formula>
    </cfRule>
    <cfRule type="containsText" dxfId="1057" priority="21188" operator="containsText" text="ENTREGADO">
      <formula>NOT(ISERROR(SEARCH("ENTREGADO",#REF!)))</formula>
    </cfRule>
  </conditionalFormatting>
  <conditionalFormatting sqref="BB3:BB4">
    <cfRule type="containsText" dxfId="1056" priority="18856" operator="containsText" text="ENTREGADO">
      <formula>NOT(ISERROR(SEARCH("ENTREGADO",BB3)))</formula>
    </cfRule>
    <cfRule type="containsText" dxfId="1055" priority="18855" operator="containsText" text="ENTREGADO">
      <formula>NOT(ISERROR(SEARCH("ENTREGADO",BB3)))</formula>
    </cfRule>
    <cfRule type="containsText" dxfId="1054" priority="18857" operator="containsText" text="PENDIENTE">
      <formula>NOT(ISERROR(SEARCH("PENDIENTE",#REF!)))</formula>
    </cfRule>
    <cfRule type="containsText" dxfId="1053" priority="18863" operator="containsText" text="PENDIENTE">
      <formula>NOT(ISERROR(SEARCH("PENDIENTE",BB3)))</formula>
    </cfRule>
    <cfRule type="containsText" dxfId="1052" priority="18862" operator="containsText" text="ENTREGADO">
      <formula>NOT(ISERROR(SEARCH("ENTREGADO",BB3)))</formula>
    </cfRule>
    <cfRule type="containsText" dxfId="1051" priority="18861" operator="containsText" text="ENTREGADO">
      <formula>NOT(ISERROR(SEARCH("ENTREGADO",BB3)))</formula>
    </cfRule>
    <cfRule type="containsText" dxfId="1050" priority="18860" operator="containsText" text="PRIORIDAD">
      <formula>NOT(ISERROR(SEARCH("PRIORIDAD",BB3)))</formula>
    </cfRule>
    <cfRule type="containsText" dxfId="1049" priority="18854" operator="containsText" text="ENTREGADO">
      <formula>NOT(ISERROR(SEARCH("ENTREGADO",#REF!)))</formula>
    </cfRule>
    <cfRule type="containsText" dxfId="1048" priority="18853" operator="containsText" text="ENTREGADO">
      <formula>NOT(ISERROR(SEARCH("ENTREGADO",BB3)))</formula>
    </cfRule>
    <cfRule type="containsText" dxfId="1047" priority="18852" operator="containsText" text="PENDIENTE">
      <formula>NOT(ISERROR(SEARCH("PENDIENTE",BB3)))</formula>
    </cfRule>
    <cfRule type="containsText" dxfId="1046" priority="18851" operator="containsText" text="ENTREGADO">
      <formula>NOT(ISERROR(SEARCH("ENTREGADO",BB3)))</formula>
    </cfRule>
    <cfRule type="containsText" dxfId="1045" priority="18858" operator="containsText" text="ENTREGADO">
      <formula>NOT(ISERROR(SEARCH("ENTREGADO",#REF!)))</formula>
    </cfRule>
  </conditionalFormatting>
  <conditionalFormatting sqref="BB5">
    <cfRule type="containsText" dxfId="1044" priority="15911" operator="containsText" text="ENTREGADO">
      <formula>NOT(ISERROR(SEARCH("ENTREGADO",#REF!)))</formula>
    </cfRule>
    <cfRule type="containsText" dxfId="1043" priority="15910" operator="containsText" text="PENDIENTE">
      <formula>NOT(ISERROR(SEARCH("PENDIENTE",#REF!)))</formula>
    </cfRule>
    <cfRule type="containsText" dxfId="1042" priority="15900" operator="containsText" text="ENTREGADO">
      <formula>NOT(ISERROR(SEARCH("ENTREGADO",BB5)))</formula>
    </cfRule>
    <cfRule type="containsText" dxfId="1041" priority="15915" operator="containsText" text="PENDIENTE">
      <formula>NOT(ISERROR(SEARCH("PENDIENTE",BB5)))</formula>
    </cfRule>
    <cfRule type="containsText" dxfId="1040" priority="15914" operator="containsText" text="ENTREGADO">
      <formula>NOT(ISERROR(SEARCH("ENTREGADO",BB5)))</formula>
    </cfRule>
  </conditionalFormatting>
  <conditionalFormatting sqref="BB5:BB7 BB19">
    <cfRule type="containsText" dxfId="1039" priority="14466" operator="containsText" text="ENTREGADO">
      <formula>NOT(ISERROR(SEARCH("ENTREGADO",BB5)))</formula>
    </cfRule>
  </conditionalFormatting>
  <conditionalFormatting sqref="BB6:BB7 BB19">
    <cfRule type="containsText" dxfId="1038" priority="14451" operator="containsText" text="ENTREGADO">
      <formula>NOT(ISERROR(SEARCH("ENTREGADO",BB6)))</formula>
    </cfRule>
    <cfRule type="containsText" dxfId="1037" priority="14467" operator="containsText" text="PENDIENTE">
      <formula>NOT(ISERROR(SEARCH("PENDIENTE",BB6)))</formula>
    </cfRule>
    <cfRule type="containsText" dxfId="1036" priority="14462" operator="containsText" text="PENDIENTE">
      <formula>NOT(ISERROR(SEARCH("PENDIENTE",#REF!)))</formula>
    </cfRule>
    <cfRule type="containsText" dxfId="1035" priority="14463" operator="containsText" text="ENTREGADO">
      <formula>NOT(ISERROR(SEARCH("ENTREGADO",#REF!)))</formula>
    </cfRule>
    <cfRule type="containsText" dxfId="1034" priority="14452" operator="containsText" text="ENTREGADO">
      <formula>NOT(ISERROR(SEARCH("ENTREGADO",BB6)))</formula>
    </cfRule>
  </conditionalFormatting>
  <conditionalFormatting sqref="BB8">
    <cfRule type="containsText" dxfId="1033" priority="13660" operator="containsText" text="PENDIENTE">
      <formula>NOT(ISERROR(SEARCH("PENDIENTE",BB8)))</formula>
    </cfRule>
    <cfRule type="containsText" dxfId="1032" priority="13659" operator="containsText" text="ENTREGADO">
      <formula>NOT(ISERROR(SEARCH("ENTREGADO",BB8)))</formula>
    </cfRule>
    <cfRule type="containsText" dxfId="1031" priority="13656" operator="containsText" text="ENTREGADO">
      <formula>NOT(ISERROR(SEARCH("ENTREGADO",#REF!)))</formula>
    </cfRule>
    <cfRule type="containsText" dxfId="1030" priority="13655" operator="containsText" text="PENDIENTE">
      <formula>NOT(ISERROR(SEARCH("PENDIENTE",#REF!)))</formula>
    </cfRule>
    <cfRule type="containsText" dxfId="1029" priority="13645" operator="containsText" text="ENTREGADO">
      <formula>NOT(ISERROR(SEARCH("ENTREGADO",BB8)))</formula>
    </cfRule>
  </conditionalFormatting>
  <conditionalFormatting sqref="BB8:BB9">
    <cfRule type="containsText" dxfId="1028" priority="9576" operator="containsText" text="ENTREGADO">
      <formula>NOT(ISERROR(SEARCH("ENTREGADO",BB8)))</formula>
    </cfRule>
  </conditionalFormatting>
  <conditionalFormatting sqref="BB9">
    <cfRule type="containsText" dxfId="1027" priority="9572" operator="containsText" text="PENDIENTE">
      <formula>NOT(ISERROR(SEARCH("PENDIENTE",#REF!)))</formula>
    </cfRule>
    <cfRule type="containsText" dxfId="1026" priority="9577" operator="containsText" text="PENDIENTE">
      <formula>NOT(ISERROR(SEARCH("PENDIENTE",BB9)))</formula>
    </cfRule>
    <cfRule type="containsText" dxfId="1025" priority="9573" operator="containsText" text="ENTREGADO">
      <formula>NOT(ISERROR(SEARCH("ENTREGADO",#REF!)))</formula>
    </cfRule>
    <cfRule type="containsText" dxfId="1024" priority="9562" operator="containsText" text="ENTREGADO">
      <formula>NOT(ISERROR(SEARCH("ENTREGADO",BB9)))</formula>
    </cfRule>
  </conditionalFormatting>
  <conditionalFormatting sqref="BB9:BB10">
    <cfRule type="containsText" dxfId="1023" priority="8212" operator="containsText" text="ENTREGADO">
      <formula>NOT(ISERROR(SEARCH("ENTREGADO",BB9)))</formula>
    </cfRule>
  </conditionalFormatting>
  <conditionalFormatting sqref="BB10">
    <cfRule type="containsText" dxfId="1022" priority="8208" operator="containsText" text="PENDIENTE">
      <formula>NOT(ISERROR(SEARCH("PENDIENTE",#REF!)))</formula>
    </cfRule>
    <cfRule type="containsText" dxfId="1021" priority="8209" operator="containsText" text="ENTREGADO">
      <formula>NOT(ISERROR(SEARCH("ENTREGADO",#REF!)))</formula>
    </cfRule>
    <cfRule type="containsText" dxfId="1020" priority="8198" operator="containsText" text="ENTREGADO">
      <formula>NOT(ISERROR(SEARCH("ENTREGADO",BB10)))</formula>
    </cfRule>
    <cfRule type="containsText" dxfId="1019" priority="8213" operator="containsText" text="PENDIENTE">
      <formula>NOT(ISERROR(SEARCH("PENDIENTE",BB10)))</formula>
    </cfRule>
  </conditionalFormatting>
  <conditionalFormatting sqref="BB10:BB12">
    <cfRule type="containsText" dxfId="1018" priority="8123" operator="containsText" text="ENTREGADO">
      <formula>NOT(ISERROR(SEARCH("ENTREGADO",BB10)))</formula>
    </cfRule>
  </conditionalFormatting>
  <conditionalFormatting sqref="BB11:BB12">
    <cfRule type="containsText" dxfId="1017" priority="8108" operator="containsText" text="ENTREGADO">
      <formula>NOT(ISERROR(SEARCH("ENTREGADO",BB11)))</formula>
    </cfRule>
    <cfRule type="containsText" dxfId="1016" priority="8119" operator="containsText" text="PENDIENTE">
      <formula>NOT(ISERROR(SEARCH("PENDIENTE",#REF!)))</formula>
    </cfRule>
    <cfRule type="containsText" dxfId="1015" priority="8109" operator="containsText" text="ENTREGADO">
      <formula>NOT(ISERROR(SEARCH("ENTREGADO",BB11)))</formula>
    </cfRule>
    <cfRule type="containsText" dxfId="1014" priority="8120" operator="containsText" text="ENTREGADO">
      <formula>NOT(ISERROR(SEARCH("ENTREGADO",#REF!)))</formula>
    </cfRule>
    <cfRule type="containsText" dxfId="1013" priority="8124" operator="containsText" text="PENDIENTE">
      <formula>NOT(ISERROR(SEARCH("PENDIENTE",BB11)))</formula>
    </cfRule>
  </conditionalFormatting>
  <conditionalFormatting sqref="BB12">
    <cfRule type="containsText" dxfId="1012" priority="8835" operator="containsText" text="ENTREGADO">
      <formula>NOT(ISERROR(SEARCH("ENTREGADO",BB12)))</formula>
    </cfRule>
    <cfRule type="containsText" dxfId="1011" priority="8832" operator="containsText" text="ENTREGADO">
      <formula>NOT(ISERROR(SEARCH("ENTREGADO",#REF!)))</formula>
    </cfRule>
    <cfRule type="containsText" dxfId="1010" priority="8831" operator="containsText" text="PENDIENTE">
      <formula>NOT(ISERROR(SEARCH("PENDIENTE",#REF!)))</formula>
    </cfRule>
    <cfRule type="containsText" dxfId="1009" priority="8821" operator="containsText" text="ENTREGADO">
      <formula>NOT(ISERROR(SEARCH("ENTREGADO",BB12)))</formula>
    </cfRule>
    <cfRule type="containsText" dxfId="1008" priority="8836" operator="containsText" text="PENDIENTE">
      <formula>NOT(ISERROR(SEARCH("PENDIENTE",BB12)))</formula>
    </cfRule>
  </conditionalFormatting>
  <conditionalFormatting sqref="BB12:BB13">
    <cfRule type="containsText" dxfId="1007" priority="8746" operator="containsText" text="ENTREGADO">
      <formula>NOT(ISERROR(SEARCH("ENTREGADO",BB12)))</formula>
    </cfRule>
  </conditionalFormatting>
  <conditionalFormatting sqref="BB13">
    <cfRule type="containsText" dxfId="1006" priority="8742" operator="containsText" text="PENDIENTE">
      <formula>NOT(ISERROR(SEARCH("PENDIENTE",#REF!)))</formula>
    </cfRule>
    <cfRule type="containsText" dxfId="1005" priority="8743" operator="containsText" text="ENTREGADO">
      <formula>NOT(ISERROR(SEARCH("ENTREGADO",#REF!)))</formula>
    </cfRule>
    <cfRule type="containsText" dxfId="1004" priority="8732" operator="containsText" text="ENTREGADO">
      <formula>NOT(ISERROR(SEARCH("ENTREGADO",BB13)))</formula>
    </cfRule>
    <cfRule type="containsText" dxfId="1003" priority="8747" operator="containsText" text="PENDIENTE">
      <formula>NOT(ISERROR(SEARCH("PENDIENTE",BB13)))</formula>
    </cfRule>
  </conditionalFormatting>
  <conditionalFormatting sqref="BB13:BB14">
    <cfRule type="containsText" dxfId="1002" priority="8657" operator="containsText" text="ENTREGADO">
      <formula>NOT(ISERROR(SEARCH("ENTREGADO",BB13)))</formula>
    </cfRule>
  </conditionalFormatting>
  <conditionalFormatting sqref="BB14">
    <cfRule type="containsText" dxfId="1001" priority="8653" operator="containsText" text="PENDIENTE">
      <formula>NOT(ISERROR(SEARCH("PENDIENTE",#REF!)))</formula>
    </cfRule>
    <cfRule type="containsText" dxfId="1000" priority="8654" operator="containsText" text="ENTREGADO">
      <formula>NOT(ISERROR(SEARCH("ENTREGADO",#REF!)))</formula>
    </cfRule>
    <cfRule type="containsText" dxfId="999" priority="8643" operator="containsText" text="ENTREGADO">
      <formula>NOT(ISERROR(SEARCH("ENTREGADO",BB14)))</formula>
    </cfRule>
    <cfRule type="containsText" dxfId="998" priority="8658" operator="containsText" text="PENDIENTE">
      <formula>NOT(ISERROR(SEARCH("PENDIENTE",BB14)))</formula>
    </cfRule>
  </conditionalFormatting>
  <conditionalFormatting sqref="BB14:BB15">
    <cfRule type="containsText" dxfId="997" priority="8568" operator="containsText" text="ENTREGADO">
      <formula>NOT(ISERROR(SEARCH("ENTREGADO",BB14)))</formula>
    </cfRule>
  </conditionalFormatting>
  <conditionalFormatting sqref="BB15">
    <cfRule type="containsText" dxfId="996" priority="8565" operator="containsText" text="ENTREGADO">
      <formula>NOT(ISERROR(SEARCH("ENTREGADO",#REF!)))</formula>
    </cfRule>
    <cfRule type="containsText" dxfId="995" priority="8554" operator="containsText" text="ENTREGADO">
      <formula>NOT(ISERROR(SEARCH("ENTREGADO",BB15)))</formula>
    </cfRule>
    <cfRule type="containsText" dxfId="994" priority="8569" operator="containsText" text="PENDIENTE">
      <formula>NOT(ISERROR(SEARCH("PENDIENTE",BB15)))</formula>
    </cfRule>
    <cfRule type="containsText" dxfId="993" priority="8564" operator="containsText" text="PENDIENTE">
      <formula>NOT(ISERROR(SEARCH("PENDIENTE",#REF!)))</formula>
    </cfRule>
  </conditionalFormatting>
  <conditionalFormatting sqref="BB15:BB16">
    <cfRule type="containsText" dxfId="992" priority="8479" operator="containsText" text="ENTREGADO">
      <formula>NOT(ISERROR(SEARCH("ENTREGADO",BB15)))</formula>
    </cfRule>
  </conditionalFormatting>
  <conditionalFormatting sqref="BB16">
    <cfRule type="containsText" dxfId="991" priority="8476" operator="containsText" text="ENTREGADO">
      <formula>NOT(ISERROR(SEARCH("ENTREGADO",#REF!)))</formula>
    </cfRule>
    <cfRule type="containsText" dxfId="990" priority="8465" operator="containsText" text="ENTREGADO">
      <formula>NOT(ISERROR(SEARCH("ENTREGADO",BB16)))</formula>
    </cfRule>
    <cfRule type="containsText" dxfId="989" priority="8480" operator="containsText" text="PENDIENTE">
      <formula>NOT(ISERROR(SEARCH("PENDIENTE",BB16)))</formula>
    </cfRule>
    <cfRule type="containsText" dxfId="988" priority="8475" operator="containsText" text="PENDIENTE">
      <formula>NOT(ISERROR(SEARCH("PENDIENTE",#REF!)))</formula>
    </cfRule>
  </conditionalFormatting>
  <conditionalFormatting sqref="BB16:BB17">
    <cfRule type="containsText" dxfId="987" priority="8390" operator="containsText" text="ENTREGADO">
      <formula>NOT(ISERROR(SEARCH("ENTREGADO",BB16)))</formula>
    </cfRule>
  </conditionalFormatting>
  <conditionalFormatting sqref="BB17">
    <cfRule type="containsText" dxfId="986" priority="8387" operator="containsText" text="ENTREGADO">
      <formula>NOT(ISERROR(SEARCH("ENTREGADO",#REF!)))</formula>
    </cfRule>
    <cfRule type="containsText" dxfId="985" priority="8376" operator="containsText" text="ENTREGADO">
      <formula>NOT(ISERROR(SEARCH("ENTREGADO",BB17)))</formula>
    </cfRule>
    <cfRule type="containsText" dxfId="984" priority="8391" operator="containsText" text="PENDIENTE">
      <formula>NOT(ISERROR(SEARCH("PENDIENTE",BB17)))</formula>
    </cfRule>
    <cfRule type="containsText" dxfId="983" priority="8375" operator="containsText" text="ENTREGADO">
      <formula>NOT(ISERROR(SEARCH("ENTREGADO",BB17)))</formula>
    </cfRule>
    <cfRule type="containsText" dxfId="982" priority="8386" operator="containsText" text="PENDIENTE">
      <formula>NOT(ISERROR(SEARCH("PENDIENTE",#REF!)))</formula>
    </cfRule>
  </conditionalFormatting>
  <conditionalFormatting sqref="BB18">
    <cfRule type="containsText" dxfId="981" priority="10381" operator="containsText" text="ENTREGADO">
      <formula>NOT(ISERROR(SEARCH("ENTREGADO",BB18)))</formula>
    </cfRule>
    <cfRule type="containsText" dxfId="980" priority="10382" operator="containsText" text="ENTREGADO">
      <formula>NOT(ISERROR(SEARCH("ENTREGADO",BB18)))</formula>
    </cfRule>
    <cfRule type="containsText" dxfId="979" priority="10397" operator="containsText" text="PENDIENTE">
      <formula>NOT(ISERROR(SEARCH("PENDIENTE",BB18)))</formula>
    </cfRule>
    <cfRule type="containsText" dxfId="978" priority="10393" operator="containsText" text="ENTREGADO">
      <formula>NOT(ISERROR(SEARCH("ENTREGADO",#REF!)))</formula>
    </cfRule>
    <cfRule type="containsText" dxfId="977" priority="10396" operator="containsText" text="ENTREGADO">
      <formula>NOT(ISERROR(SEARCH("ENTREGADO",BB18)))</formula>
    </cfRule>
  </conditionalFormatting>
  <conditionalFormatting sqref="BB20">
    <cfRule type="containsText" dxfId="976" priority="13798" operator="containsText" text="PENDIENTE">
      <formula>NOT(ISERROR(SEARCH("PENDIENTE",BB20)))</formula>
    </cfRule>
    <cfRule type="containsText" dxfId="975" priority="13794" operator="containsText" text="ENTREGADO">
      <formula>NOT(ISERROR(SEARCH("ENTREGADO",#REF!)))</formula>
    </cfRule>
    <cfRule type="containsText" dxfId="974" priority="13793" operator="containsText" text="PENDIENTE">
      <formula>NOT(ISERROR(SEARCH("PENDIENTE",#REF!)))</formula>
    </cfRule>
    <cfRule type="containsText" dxfId="973" priority="13797" operator="containsText" text="ENTREGADO">
      <formula>NOT(ISERROR(SEARCH("ENTREGADO",BB20)))</formula>
    </cfRule>
    <cfRule type="containsText" dxfId="972" priority="13783" operator="containsText" text="ENTREGADO">
      <formula>NOT(ISERROR(SEARCH("ENTREGADO",BB20)))</formula>
    </cfRule>
    <cfRule type="containsText" dxfId="971" priority="13782" operator="containsText" text="ENTREGADO">
      <formula>NOT(ISERROR(SEARCH("ENTREGADO",BB20)))</formula>
    </cfRule>
  </conditionalFormatting>
  <conditionalFormatting sqref="BB21">
    <cfRule type="containsText" dxfId="970" priority="12726" operator="containsText" text="ENTREGADO">
      <formula>NOT(ISERROR(SEARCH("ENTREGADO",BB21)))</formula>
    </cfRule>
    <cfRule type="containsText" dxfId="969" priority="12723" operator="containsText" text="ENTREGADO">
      <formula>NOT(ISERROR(SEARCH("ENTREGADO",#REF!)))</formula>
    </cfRule>
    <cfRule type="containsText" dxfId="968" priority="12712" operator="containsText" text="ENTREGADO">
      <formula>NOT(ISERROR(SEARCH("ENTREGADO",BB21)))</formula>
    </cfRule>
    <cfRule type="containsText" dxfId="967" priority="12727" operator="containsText" text="PENDIENTE">
      <formula>NOT(ISERROR(SEARCH("PENDIENTE",BB21)))</formula>
    </cfRule>
    <cfRule type="containsText" dxfId="966" priority="12711" operator="containsText" text="ENTREGADO">
      <formula>NOT(ISERROR(SEARCH("ENTREGADO",BB21)))</formula>
    </cfRule>
    <cfRule type="containsText" dxfId="965" priority="12722" operator="containsText" text="PENDIENTE">
      <formula>NOT(ISERROR(SEARCH("PENDIENTE",#REF!)))</formula>
    </cfRule>
  </conditionalFormatting>
  <conditionalFormatting sqref="BB22">
    <cfRule type="containsText" dxfId="964" priority="10782" operator="containsText" text="ENTREGADO">
      <formula>NOT(ISERROR(SEARCH("ENTREGADO",#REF!)))</formula>
    </cfRule>
    <cfRule type="containsText" dxfId="963" priority="10785" operator="containsText" text="ENTREGADO">
      <formula>NOT(ISERROR(SEARCH("ENTREGADO",BB22)))</formula>
    </cfRule>
    <cfRule type="containsText" dxfId="962" priority="10786" operator="containsText" text="PENDIENTE">
      <formula>NOT(ISERROR(SEARCH("PENDIENTE",BB22)))</formula>
    </cfRule>
    <cfRule type="containsText" dxfId="961" priority="10771" operator="containsText" text="ENTREGADO">
      <formula>NOT(ISERROR(SEARCH("ENTREGADO",BB22)))</formula>
    </cfRule>
    <cfRule type="containsText" dxfId="960" priority="10770" operator="containsText" text="ENTREGADO">
      <formula>NOT(ISERROR(SEARCH("ENTREGADO",BB22)))</formula>
    </cfRule>
    <cfRule type="containsText" dxfId="959" priority="10781" operator="containsText" text="PENDIENTE">
      <formula>NOT(ISERROR(SEARCH("PENDIENTE",#REF!)))</formula>
    </cfRule>
  </conditionalFormatting>
  <conditionalFormatting sqref="BB23">
    <cfRule type="containsText" dxfId="958" priority="6901" operator="containsText" text="ENTREGADO">
      <formula>NOT(ISERROR(SEARCH("ENTREGADO",BB23)))</formula>
    </cfRule>
    <cfRule type="containsText" dxfId="957" priority="6910" operator="containsText" text="PENDIENTE">
      <formula>NOT(ISERROR(SEARCH("PENDIENTE",#REF!)))</formula>
    </cfRule>
    <cfRule type="containsText" dxfId="956" priority="6900" operator="containsText" text="ENTREGADO">
      <formula>NOT(ISERROR(SEARCH("ENTREGADO",BB23)))</formula>
    </cfRule>
    <cfRule type="containsText" dxfId="955" priority="6911" operator="containsText" text="ENTREGADO">
      <formula>NOT(ISERROR(SEARCH("ENTREGADO",#REF!)))</formula>
    </cfRule>
    <cfRule type="containsText" dxfId="954" priority="6915" operator="containsText" text="PENDIENTE">
      <formula>NOT(ISERROR(SEARCH("PENDIENTE",BB23)))</formula>
    </cfRule>
    <cfRule type="containsText" dxfId="953" priority="6914" operator="containsText" text="ENTREGADO">
      <formula>NOT(ISERROR(SEARCH("ENTREGADO",BB23)))</formula>
    </cfRule>
  </conditionalFormatting>
  <conditionalFormatting sqref="BB24 A8 BB27:BB34">
    <cfRule type="containsText" dxfId="952" priority="13648" operator="containsText" text="ENTREGADO">
      <formula>NOT(ISERROR(SEARCH("ENTREGADO",A8)))</formula>
    </cfRule>
  </conditionalFormatting>
  <conditionalFormatting sqref="BB24">
    <cfRule type="containsText" dxfId="951" priority="10669" operator="containsText" text="ENTREGADO">
      <formula>NOT(ISERROR(SEARCH("ENTREGADO",BB24)))</formula>
    </cfRule>
    <cfRule type="containsText" dxfId="950" priority="10685" operator="containsText" text="PENDIENTE">
      <formula>NOT(ISERROR(SEARCH("PENDIENTE",BB24)))</formula>
    </cfRule>
    <cfRule type="containsText" dxfId="949" priority="10681" operator="containsText" text="ENTREGADO">
      <formula>NOT(ISERROR(SEARCH("ENTREGADO",#REF!)))</formula>
    </cfRule>
    <cfRule type="containsText" dxfId="948" priority="10680" operator="containsText" text="PENDIENTE">
      <formula>NOT(ISERROR(SEARCH("PENDIENTE",#REF!)))</formula>
    </cfRule>
  </conditionalFormatting>
  <conditionalFormatting sqref="BB25 AD25:AG25 AI25:AL25 AN25:AO25">
    <cfRule type="containsText" dxfId="947" priority="6364" operator="containsText" text="ENTREGADO">
      <formula>NOT(ISERROR(SEARCH("ENTREGADO",AD25)))</formula>
    </cfRule>
  </conditionalFormatting>
  <conditionalFormatting sqref="BB25">
    <cfRule type="containsText" dxfId="946" priority="6344" operator="containsText" text="PENDIENTE">
      <formula>NOT(ISERROR(SEARCH("PENDIENTE",#REF!)))</formula>
    </cfRule>
    <cfRule type="containsText" dxfId="945" priority="6345" operator="containsText" text="ENTREGADO">
      <formula>NOT(ISERROR(SEARCH("ENTREGADO",#REF!)))</formula>
    </cfRule>
    <cfRule type="containsText" dxfId="944" priority="6346" operator="containsText" text="PENDIENTE">
      <formula>NOT(ISERROR(SEARCH("PENDIENTE",BB25)))</formula>
    </cfRule>
    <cfRule type="containsText" dxfId="943" priority="6363" operator="containsText" text="ENTREGADO">
      <formula>NOT(ISERROR(SEARCH("ENTREGADO",BB25)))</formula>
    </cfRule>
    <cfRule type="containsText" dxfId="942" priority="6343" operator="containsText" text="ENTREGADO">
      <formula>NOT(ISERROR(SEARCH("ENTREGADO",BB25)))</formula>
    </cfRule>
  </conditionalFormatting>
  <conditionalFormatting sqref="BB26 AR25:AW26 BD25:BG32 AD26:AG26 AI26:AL26 AN26:AO26">
    <cfRule type="containsText" dxfId="941" priority="6324" operator="containsText" text="ENTREGADO">
      <formula>NOT(ISERROR(SEARCH("ENTREGADO",AD25)))</formula>
    </cfRule>
  </conditionalFormatting>
  <conditionalFormatting sqref="BB26">
    <cfRule type="containsText" dxfId="940" priority="6306" operator="containsText" text="ENTREGADO">
      <formula>NOT(ISERROR(SEARCH("ENTREGADO",#REF!)))</formula>
    </cfRule>
    <cfRule type="containsText" dxfId="939" priority="6305" operator="containsText" text="PENDIENTE">
      <formula>NOT(ISERROR(SEARCH("PENDIENTE",#REF!)))</formula>
    </cfRule>
    <cfRule type="containsText" dxfId="938" priority="6304" operator="containsText" text="ENTREGADO">
      <formula>NOT(ISERROR(SEARCH("ENTREGADO",BB26)))</formula>
    </cfRule>
    <cfRule type="containsText" dxfId="937" priority="6307" operator="containsText" text="PENDIENTE">
      <formula>NOT(ISERROR(SEARCH("PENDIENTE",BB26)))</formula>
    </cfRule>
  </conditionalFormatting>
  <conditionalFormatting sqref="BB27:BB34">
    <cfRule type="containsText" dxfId="936" priority="12364" operator="containsText" text="PENDIENTE">
      <formula>NOT(ISERROR(SEARCH("PENDIENTE",BB27)))</formula>
    </cfRule>
    <cfRule type="containsText" dxfId="935" priority="12363" operator="containsText" text="ENTREGADO">
      <formula>NOT(ISERROR(SEARCH("ENTREGADO",BB27)))</formula>
    </cfRule>
    <cfRule type="containsText" dxfId="934" priority="12362" operator="containsText" text="ENTREGADO">
      <formula>NOT(ISERROR(SEARCH("ENTREGADO",BB27)))</formula>
    </cfRule>
    <cfRule type="containsText" dxfId="933" priority="12361" operator="containsText" text="PRIORIDAD">
      <formula>NOT(ISERROR(SEARCH("PRIORIDAD",BB27)))</formula>
    </cfRule>
    <cfRule type="containsText" dxfId="932" priority="12359" operator="containsText" text="ENTREGADO">
      <formula>NOT(ISERROR(SEARCH("ENTREGADO",#REF!)))</formula>
    </cfRule>
    <cfRule type="containsText" dxfId="931" priority="12305" operator="containsText" text="ENTREGADO">
      <formula>NOT(ISERROR(SEARCH("ENTREGADO",BB27)))</formula>
    </cfRule>
    <cfRule type="containsText" dxfId="930" priority="23209" operator="containsText" text="PENDIENTE">
      <formula>NOT(ISERROR(SEARCH("PENDIENTE",BB27)))</formula>
    </cfRule>
  </conditionalFormatting>
  <conditionalFormatting sqref="BB28">
    <cfRule type="containsText" dxfId="929" priority="23206" operator="containsText" text="PRIORIDAD">
      <formula>NOT(ISERROR(SEARCH("PRIORIDAD",BB28)))</formula>
    </cfRule>
    <cfRule type="containsText" dxfId="928" priority="23173" operator="containsText" text="ENTREGADO">
      <formula>NOT(ISERROR(SEARCH("ENTREGADO",BB28)))</formula>
    </cfRule>
    <cfRule type="containsText" dxfId="927" priority="23172" operator="containsText" text="ENTREGADO">
      <formula>NOT(ISERROR(SEARCH("ENTREGADO",BB28)))</formula>
    </cfRule>
    <cfRule type="containsText" dxfId="926" priority="23204" operator="containsText" text="ENTREGADO">
      <formula>NOT(ISERROR(SEARCH("ENTREGADO",#REF!)))</formula>
    </cfRule>
    <cfRule type="containsText" dxfId="925" priority="23208" operator="containsText" text="ENTREGADO">
      <formula>NOT(ISERROR(SEARCH("ENTREGADO",BB28)))</formula>
    </cfRule>
    <cfRule type="containsText" dxfId="924" priority="23207" operator="containsText" text="ENTREGADO">
      <formula>NOT(ISERROR(SEARCH("ENTREGADO",BB28)))</formula>
    </cfRule>
  </conditionalFormatting>
  <conditionalFormatting sqref="BB28:BB29">
    <cfRule type="containsText" dxfId="923" priority="20643" operator="containsText" text="ENTREGADO">
      <formula>NOT(ISERROR(SEARCH("ENTREGADO",BB28)))</formula>
    </cfRule>
    <cfRule type="containsText" dxfId="922" priority="20644" operator="containsText" text="ENTREGADO">
      <formula>NOT(ISERROR(SEARCH("ENTREGADO",BB28)))</formula>
    </cfRule>
  </conditionalFormatting>
  <conditionalFormatting sqref="BB29">
    <cfRule type="containsText" dxfId="921" priority="20586" operator="containsText" text="ENTREGADO">
      <formula>NOT(ISERROR(SEARCH("ENTREGADO",BB29)))</formula>
    </cfRule>
    <cfRule type="containsText" dxfId="920" priority="20645" operator="containsText" text="PENDIENTE">
      <formula>NOT(ISERROR(SEARCH("PENDIENTE",BB29)))</formula>
    </cfRule>
    <cfRule type="containsText" dxfId="919" priority="20584" operator="containsText" text="ENTREGADO">
      <formula>NOT(ISERROR(SEARCH("ENTREGADO",#REF!)))</formula>
    </cfRule>
    <cfRule type="containsText" dxfId="918" priority="20642" operator="containsText" text="PRIORIDAD">
      <formula>NOT(ISERROR(SEARCH("PRIORIDAD",BB29)))</formula>
    </cfRule>
    <cfRule type="containsText" dxfId="917" priority="20640" operator="containsText" text="ENTREGADO">
      <formula>NOT(ISERROR(SEARCH("ENTREGADO",#REF!)))</formula>
    </cfRule>
  </conditionalFormatting>
  <conditionalFormatting sqref="BB29:BB30">
    <cfRule type="containsText" dxfId="916" priority="19058" operator="containsText" text="ENTREGADO">
      <formula>NOT(ISERROR(SEARCH("ENTREGADO",BB29)))</formula>
    </cfRule>
    <cfRule type="containsText" dxfId="915" priority="19059" operator="containsText" text="ENTREGADO">
      <formula>NOT(ISERROR(SEARCH("ENTREGADO",BB29)))</formula>
    </cfRule>
  </conditionalFormatting>
  <conditionalFormatting sqref="BB30">
    <cfRule type="containsText" dxfId="914" priority="19060" operator="containsText" text="PENDIENTE">
      <formula>NOT(ISERROR(SEARCH("PENDIENTE",BB30)))</formula>
    </cfRule>
    <cfRule type="containsText" dxfId="913" priority="19055" operator="containsText" text="ENTREGADO">
      <formula>NOT(ISERROR(SEARCH("ENTREGADO",#REF!)))</formula>
    </cfRule>
    <cfRule type="containsText" dxfId="912" priority="19057" operator="containsText" text="PRIORIDAD">
      <formula>NOT(ISERROR(SEARCH("PRIORIDAD",BB30)))</formula>
    </cfRule>
    <cfRule type="containsText" dxfId="911" priority="18999" operator="containsText" text="ENTREGADO">
      <formula>NOT(ISERROR(SEARCH("ENTREGADO",#REF!)))</formula>
    </cfRule>
    <cfRule type="containsText" dxfId="910" priority="19001" operator="containsText" text="ENTREGADO">
      <formula>NOT(ISERROR(SEARCH("ENTREGADO",BB30)))</formula>
    </cfRule>
  </conditionalFormatting>
  <conditionalFormatting sqref="BB30:BB32">
    <cfRule type="containsText" dxfId="909" priority="17473" operator="containsText" text="ENTREGADO">
      <formula>NOT(ISERROR(SEARCH("ENTREGADO",BB30)))</formula>
    </cfRule>
    <cfRule type="containsText" dxfId="908" priority="17474" operator="containsText" text="ENTREGADO">
      <formula>NOT(ISERROR(SEARCH("ENTREGADO",BB30)))</formula>
    </cfRule>
  </conditionalFormatting>
  <conditionalFormatting sqref="BB31">
    <cfRule type="containsText" dxfId="907" priority="17457" operator="containsText" text="ENTREGADO">
      <formula>NOT(ISERROR(SEARCH("ENTREGADO",BB31)))</formula>
    </cfRule>
    <cfRule type="containsText" dxfId="906" priority="17454" operator="containsText" text="ENTREGADO">
      <formula>NOT(ISERROR(SEARCH("ENTREGADO",#REF!)))</formula>
    </cfRule>
    <cfRule type="containsText" dxfId="905" priority="17446" operator="containsText" text="ENTREGADO">
      <formula>NOT(ISERROR(SEARCH("ENTREGADO",BB31)))</formula>
    </cfRule>
    <cfRule type="containsText" dxfId="904" priority="17468" operator="containsText" text="PENDIENTE">
      <formula>NOT(ISERROR(SEARCH("PENDIENTE",#REF!)))</formula>
    </cfRule>
    <cfRule type="containsText" dxfId="903" priority="17471" operator="containsText" text="ENTREGADO">
      <formula>NOT(ISERROR(SEARCH("ENTREGADO",#REF!)))</formula>
    </cfRule>
    <cfRule type="containsText" dxfId="902" priority="17458" operator="containsText" text="ENTREGADO">
      <formula>NOT(ISERROR(SEARCH("ENTREGADO",BB31)))</formula>
    </cfRule>
    <cfRule type="containsText" dxfId="901" priority="17472" operator="containsText" text="PRIORIDAD">
      <formula>NOT(ISERROR(SEARCH("PRIORIDAD",BB31)))</formula>
    </cfRule>
    <cfRule type="containsText" dxfId="900" priority="17475" operator="containsText" text="PENDIENTE">
      <formula>NOT(ISERROR(SEARCH("PENDIENTE",BB31)))</formula>
    </cfRule>
    <cfRule type="containsText" dxfId="899" priority="17470" operator="containsText" text="PENDIENTE">
      <formula>NOT(ISERROR(SEARCH("PENDIENTE",#REF!)))</formula>
    </cfRule>
    <cfRule type="containsText" dxfId="898" priority="17469" operator="containsText" text="PENDIENTE">
      <formula>NOT(ISERROR(SEARCH("PENDIENTE",BB31)))</formula>
    </cfRule>
  </conditionalFormatting>
  <conditionalFormatting sqref="BB32">
    <cfRule type="containsText" dxfId="897" priority="19882" operator="containsText" text="ENTREGADO">
      <formula>NOT(ISERROR(SEARCH("ENTREGADO",BB32)))</formula>
    </cfRule>
    <cfRule type="containsText" dxfId="896" priority="19941" operator="containsText" text="PENDIENTE">
      <formula>NOT(ISERROR(SEARCH("PENDIENTE",BB32)))</formula>
    </cfRule>
    <cfRule type="containsText" dxfId="895" priority="19880" operator="containsText" text="ENTREGADO">
      <formula>NOT(ISERROR(SEARCH("ENTREGADO",#REF!)))</formula>
    </cfRule>
    <cfRule type="containsText" dxfId="894" priority="19940" operator="containsText" text="ENTREGADO">
      <formula>NOT(ISERROR(SEARCH("ENTREGADO",BB32)))</formula>
    </cfRule>
    <cfRule type="containsText" dxfId="893" priority="19939" operator="containsText" text="ENTREGADO">
      <formula>NOT(ISERROR(SEARCH("ENTREGADO",BB32)))</formula>
    </cfRule>
    <cfRule type="containsText" dxfId="892" priority="19936" operator="containsText" text="ENTREGADO">
      <formula>NOT(ISERROR(SEARCH("ENTREGADO",#REF!)))</formula>
    </cfRule>
    <cfRule type="containsText" dxfId="891" priority="19938" operator="containsText" text="PRIORIDAD">
      <formula>NOT(ISERROR(SEARCH("PRIORIDAD",BB32)))</formula>
    </cfRule>
  </conditionalFormatting>
  <conditionalFormatting sqref="BB33">
    <cfRule type="containsText" dxfId="890" priority="5955" operator="containsText" text="ENTREGADO">
      <formula>NOT(ISERROR(SEARCH("ENTREGADO",BB33)))</formula>
    </cfRule>
    <cfRule type="containsText" dxfId="889" priority="5936" operator="containsText" text="ENTREGADO">
      <formula>NOT(ISERROR(SEARCH("ENTREGADO",BB33)))</formula>
    </cfRule>
    <cfRule type="containsText" dxfId="888" priority="5951" operator="containsText" text="PENDIENTE">
      <formula>NOT(ISERROR(SEARCH("PENDIENTE",#REF!)))</formula>
    </cfRule>
    <cfRule type="containsText" dxfId="887" priority="5956" operator="containsText" text="PENDIENTE">
      <formula>NOT(ISERROR(SEARCH("PENDIENTE",BB33)))</formula>
    </cfRule>
    <cfRule type="containsText" dxfId="886" priority="5952" operator="containsText" text="ENTREGADO">
      <formula>NOT(ISERROR(SEARCH("ENTREGADO",#REF!)))</formula>
    </cfRule>
    <cfRule type="containsText" dxfId="885" priority="5907" operator="containsText" text="ENTREGADO">
      <formula>NOT(ISERROR(SEARCH("ENTREGADO",BB33)))</formula>
    </cfRule>
  </conditionalFormatting>
  <conditionalFormatting sqref="BB34">
    <cfRule type="containsText" dxfId="884" priority="20291" operator="containsText" text="ENTREGADO">
      <formula>NOT(ISERROR(SEARCH("ENTREGADO",BB34)))</formula>
    </cfRule>
    <cfRule type="containsText" dxfId="883" priority="20290" operator="containsText" text="PRIORIDAD">
      <formula>NOT(ISERROR(SEARCH("PRIORIDAD",BB34)))</formula>
    </cfRule>
    <cfRule type="containsText" dxfId="882" priority="20288" operator="containsText" text="ENTREGADO">
      <formula>NOT(ISERROR(SEARCH("ENTREGADO",#REF!)))</formula>
    </cfRule>
    <cfRule type="containsText" dxfId="881" priority="20232" operator="containsText" text="ENTREGADO">
      <formula>NOT(ISERROR(SEARCH("ENTREGADO",#REF!)))</formula>
    </cfRule>
    <cfRule type="containsText" dxfId="880" priority="20292" operator="containsText" text="ENTREGADO">
      <formula>NOT(ISERROR(SEARCH("ENTREGADO",BB34)))</formula>
    </cfRule>
    <cfRule type="containsText" dxfId="879" priority="20293" operator="containsText" text="PENDIENTE">
      <formula>NOT(ISERROR(SEARCH("PENDIENTE",BB34)))</formula>
    </cfRule>
    <cfRule type="containsText" dxfId="878" priority="20234" operator="containsText" text="ENTREGADO">
      <formula>NOT(ISERROR(SEARCH("ENTREGADO",BB34)))</formula>
    </cfRule>
  </conditionalFormatting>
  <conditionalFormatting sqref="BB34:BB35">
    <cfRule type="containsText" dxfId="877" priority="17328" operator="containsText" text="ENTREGADO">
      <formula>NOT(ISERROR(SEARCH("ENTREGADO",BB34)))</formula>
    </cfRule>
    <cfRule type="containsText" dxfId="876" priority="17327" operator="containsText" text="ENTREGADO">
      <formula>NOT(ISERROR(SEARCH("ENTREGADO",BB34)))</formula>
    </cfRule>
  </conditionalFormatting>
  <conditionalFormatting sqref="BB35">
    <cfRule type="containsText" dxfId="875" priority="17323" operator="containsText" text="PENDIENTE">
      <formula>NOT(ISERROR(SEARCH("PENDIENTE",BB35)))</formula>
    </cfRule>
    <cfRule type="containsText" dxfId="874" priority="17308" operator="containsText" text="ENTREGADO">
      <formula>NOT(ISERROR(SEARCH("ENTREGADO",#REF!)))</formula>
    </cfRule>
    <cfRule type="containsText" dxfId="873" priority="17322" operator="containsText" text="PENDIENTE">
      <formula>NOT(ISERROR(SEARCH("PENDIENTE",#REF!)))</formula>
    </cfRule>
    <cfRule type="containsText" dxfId="872" priority="17326" operator="containsText" text="PRIORIDAD">
      <formula>NOT(ISERROR(SEARCH("PRIORIDAD",BB35)))</formula>
    </cfRule>
    <cfRule type="containsText" dxfId="871" priority="17311" operator="containsText" text="ENTREGADO">
      <formula>NOT(ISERROR(SEARCH("ENTREGADO",BB35)))</formula>
    </cfRule>
    <cfRule type="containsText" dxfId="870" priority="17329" operator="containsText" text="PENDIENTE">
      <formula>NOT(ISERROR(SEARCH("PENDIENTE",BB35)))</formula>
    </cfRule>
    <cfRule type="containsText" dxfId="869" priority="17325" operator="containsText" text="ENTREGADO">
      <formula>NOT(ISERROR(SEARCH("ENTREGADO",#REF!)))</formula>
    </cfRule>
    <cfRule type="containsText" dxfId="868" priority="17300" operator="containsText" text="ENTREGADO">
      <formula>NOT(ISERROR(SEARCH("ENTREGADO",BB35)))</formula>
    </cfRule>
    <cfRule type="containsText" dxfId="867" priority="17312" operator="containsText" text="ENTREGADO">
      <formula>NOT(ISERROR(SEARCH("ENTREGADO",BB35)))</formula>
    </cfRule>
  </conditionalFormatting>
  <conditionalFormatting sqref="BB36">
    <cfRule type="containsText" dxfId="866" priority="17204" operator="containsText" text="PENDIENTE">
      <formula>NOT(ISERROR(SEARCH("PENDIENTE",#REF!)))</formula>
    </cfRule>
    <cfRule type="containsText" dxfId="865" priority="17206" operator="containsText" text="PRIORIDAD">
      <formula>NOT(ISERROR(SEARCH("PRIORIDAD",BB36)))</formula>
    </cfRule>
    <cfRule type="containsText" dxfId="864" priority="17207" operator="containsText" text="ENTREGADO">
      <formula>NOT(ISERROR(SEARCH("ENTREGADO",BB36)))</formula>
    </cfRule>
    <cfRule type="containsText" dxfId="863" priority="17208" operator="containsText" text="ENTREGADO">
      <formula>NOT(ISERROR(SEARCH("ENTREGADO",BB36)))</formula>
    </cfRule>
    <cfRule type="containsText" dxfId="862" priority="17180" operator="containsText" text="ENTREGADO">
      <formula>NOT(ISERROR(SEARCH("ENTREGADO",BB36)))</formula>
    </cfRule>
    <cfRule type="containsText" dxfId="861" priority="17188" operator="containsText" text="ENTREGADO">
      <formula>NOT(ISERROR(SEARCH("ENTREGADO",#REF!)))</formula>
    </cfRule>
    <cfRule type="containsText" dxfId="860" priority="17191" operator="containsText" text="ENTREGADO">
      <formula>NOT(ISERROR(SEARCH("ENTREGADO",BB36)))</formula>
    </cfRule>
    <cfRule type="containsText" dxfId="859" priority="17205" operator="containsText" text="ENTREGADO">
      <formula>NOT(ISERROR(SEARCH("ENTREGADO",#REF!)))</formula>
    </cfRule>
    <cfRule type="containsText" dxfId="858" priority="17192" operator="containsText" text="ENTREGADO">
      <formula>NOT(ISERROR(SEARCH("ENTREGADO",BB36)))</formula>
    </cfRule>
    <cfRule type="containsText" dxfId="857" priority="17202" operator="containsText" text="PENDIENTE">
      <formula>NOT(ISERROR(SEARCH("PENDIENTE",#REF!)))</formula>
    </cfRule>
    <cfRule type="containsText" dxfId="856" priority="17209" operator="containsText" text="PENDIENTE">
      <formula>NOT(ISERROR(SEARCH("PENDIENTE",BB36)))</formula>
    </cfRule>
    <cfRule type="containsText" dxfId="855" priority="17203" operator="containsText" text="PENDIENTE">
      <formula>NOT(ISERROR(SEARCH("PENDIENTE",BB36)))</formula>
    </cfRule>
  </conditionalFormatting>
  <conditionalFormatting sqref="BB37">
    <cfRule type="containsText" dxfId="854" priority="15787" operator="containsText" text="PRIORIDAD">
      <formula>NOT(ISERROR(SEARCH("PRIORIDAD",BB37)))</formula>
    </cfRule>
    <cfRule type="containsText" dxfId="853" priority="15786" operator="containsText" text="ENTREGADO">
      <formula>NOT(ISERROR(SEARCH("ENTREGADO",#REF!)))</formula>
    </cfRule>
    <cfRule type="containsText" dxfId="852" priority="15789" operator="containsText" text="ENTREGADO">
      <formula>NOT(ISERROR(SEARCH("ENTREGADO",BB37)))</formula>
    </cfRule>
    <cfRule type="containsText" dxfId="851" priority="15790" operator="containsText" text="PENDIENTE">
      <formula>NOT(ISERROR(SEARCH("PENDIENTE",BB37)))</formula>
    </cfRule>
    <cfRule type="containsText" dxfId="850" priority="15761" operator="containsText" text="ENTREGADO">
      <formula>NOT(ISERROR(SEARCH("ENTREGADO",BB37)))</formula>
    </cfRule>
    <cfRule type="containsText" dxfId="849" priority="15783" operator="containsText" text="PENDIENTE">
      <formula>NOT(ISERROR(SEARCH("PENDIENTE",#REF!)))</formula>
    </cfRule>
    <cfRule type="containsText" dxfId="848" priority="15788" operator="containsText" text="ENTREGADO">
      <formula>NOT(ISERROR(SEARCH("ENTREGADO",BB37)))</formula>
    </cfRule>
    <cfRule type="containsText" dxfId="847" priority="15769" operator="containsText" text="ENTREGADO">
      <formula>NOT(ISERROR(SEARCH("ENTREGADO",#REF!)))</formula>
    </cfRule>
    <cfRule type="containsText" dxfId="846" priority="15772" operator="containsText" text="ENTREGADO">
      <formula>NOT(ISERROR(SEARCH("ENTREGADO",BB37)))</formula>
    </cfRule>
    <cfRule type="containsText" dxfId="845" priority="15773" operator="containsText" text="ENTREGADO">
      <formula>NOT(ISERROR(SEARCH("ENTREGADO",BB37)))</formula>
    </cfRule>
    <cfRule type="containsText" dxfId="844" priority="15784" operator="containsText" text="PENDIENTE">
      <formula>NOT(ISERROR(SEARCH("PENDIENTE",BB37)))</formula>
    </cfRule>
  </conditionalFormatting>
  <conditionalFormatting sqref="BB38 BB40">
    <cfRule type="containsText" dxfId="843" priority="7293" operator="containsText" text="ENTREGADO">
      <formula>NOT(ISERROR(SEARCH("ENTREGADO",BB38)))</formula>
    </cfRule>
    <cfRule type="containsText" dxfId="842" priority="7294" operator="containsText" text="ENTREGADO">
      <formula>NOT(ISERROR(SEARCH("ENTREGADO",BB38)))</formula>
    </cfRule>
  </conditionalFormatting>
  <conditionalFormatting sqref="BB38">
    <cfRule type="containsText" dxfId="841" priority="15638" operator="containsText" text="ENTREGADO">
      <formula>NOT(ISERROR(SEARCH("ENTREGADO",#REF!)))</formula>
    </cfRule>
    <cfRule type="containsText" dxfId="840" priority="15624" operator="containsText" text="ENTREGADO">
      <formula>NOT(ISERROR(SEARCH("ENTREGADO",BB38)))</formula>
    </cfRule>
    <cfRule type="containsText" dxfId="839" priority="15639" operator="containsText" text="PRIORIDAD">
      <formula>NOT(ISERROR(SEARCH("PRIORIDAD",BB38)))</formula>
    </cfRule>
    <cfRule type="containsText" dxfId="838" priority="15636" operator="containsText" text="PENDIENTE">
      <formula>NOT(ISERROR(SEARCH("PENDIENTE",BB38)))</formula>
    </cfRule>
    <cfRule type="containsText" dxfId="837" priority="15642" operator="containsText" text="PENDIENTE">
      <formula>NOT(ISERROR(SEARCH("PENDIENTE",BB38)))</formula>
    </cfRule>
    <cfRule type="containsText" dxfId="836" priority="15641" operator="containsText" text="ENTREGADO">
      <formula>NOT(ISERROR(SEARCH("ENTREGADO",BB38)))</formula>
    </cfRule>
    <cfRule type="containsText" dxfId="835" priority="15625" operator="containsText" text="ENTREGADO">
      <formula>NOT(ISERROR(SEARCH("ENTREGADO",BB38)))</formula>
    </cfRule>
    <cfRule type="containsText" dxfId="834" priority="15621" operator="containsText" text="ENTREGADO">
      <formula>NOT(ISERROR(SEARCH("ENTREGADO",#REF!)))</formula>
    </cfRule>
    <cfRule type="containsText" dxfId="833" priority="15635" operator="containsText" text="PENDIENTE">
      <formula>NOT(ISERROR(SEARCH("PENDIENTE",#REF!)))</formula>
    </cfRule>
  </conditionalFormatting>
  <conditionalFormatting sqref="BB39">
    <cfRule type="containsText" dxfId="832" priority="4271" operator="containsText" text="ENTREGADO">
      <formula>NOT(ISERROR(SEARCH("ENTREGADO",#REF!)))</formula>
    </cfRule>
    <cfRule type="containsText" dxfId="831" priority="4275" operator="containsText" text="ENTREGADO">
      <formula>NOT(ISERROR(SEARCH("ENTREGADO",BB39)))</formula>
    </cfRule>
    <cfRule type="containsText" dxfId="830" priority="4288" operator="containsText" text="PENDIENTE">
      <formula>NOT(ISERROR(SEARCH("PENDIENTE",BB39)))</formula>
    </cfRule>
    <cfRule type="containsText" dxfId="829" priority="4278" operator="containsText" text="ENTREGADO">
      <formula>NOT(ISERROR(SEARCH("ENTREGADO",BB39)))</formula>
    </cfRule>
    <cfRule type="containsText" dxfId="828" priority="4225" operator="containsText" text="ENTREGADO">
      <formula>NOT(ISERROR(SEARCH("ENTREGADO",BB39)))</formula>
    </cfRule>
    <cfRule type="containsText" dxfId="827" priority="4277" operator="containsText" text="ENTREGADO">
      <formula>NOT(ISERROR(SEARCH("ENTREGADO",BB39)))</formula>
    </cfRule>
    <cfRule type="containsText" dxfId="826" priority="4276" operator="containsText" text="PENDIENTE">
      <formula>NOT(ISERROR(SEARCH("PENDIENTE",BB39)))</formula>
    </cfRule>
    <cfRule type="containsText" dxfId="825" priority="4274" operator="containsText" text="ENTREGADO">
      <formula>NOT(ISERROR(SEARCH("ENTREGADO",BB39)))</formula>
    </cfRule>
    <cfRule type="containsText" dxfId="824" priority="4273" operator="containsText" text="PRIORIDAD">
      <formula>NOT(ISERROR(SEARCH("PRIORIDAD",BB39)))</formula>
    </cfRule>
  </conditionalFormatting>
  <conditionalFormatting sqref="BB40">
    <cfRule type="containsText" dxfId="823" priority="7289" operator="containsText" text="PENDIENTE">
      <formula>NOT(ISERROR(SEARCH("PENDIENTE",#REF!)))</formula>
    </cfRule>
    <cfRule type="containsText" dxfId="822" priority="7292" operator="containsText" text="PRIORIDAD">
      <formula>NOT(ISERROR(SEARCH("PRIORIDAD",BB40)))</formula>
    </cfRule>
    <cfRule type="containsText" dxfId="821" priority="7295" operator="containsText" text="PENDIENTE">
      <formula>NOT(ISERROR(SEARCH("PENDIENTE",BB40)))</formula>
    </cfRule>
    <cfRule type="containsText" dxfId="820" priority="7240" operator="containsText" text="ENTREGADO">
      <formula>NOT(ISERROR(SEARCH("ENTREGADO",BB40)))</formula>
    </cfRule>
    <cfRule type="containsText" dxfId="819" priority="7241" operator="containsText" text="ENTREGADO">
      <formula>NOT(ISERROR(SEARCH("ENTREGADO",#REF!)))</formula>
    </cfRule>
    <cfRule type="containsText" dxfId="818" priority="7243" operator="containsText" text="ENTREGADO">
      <formula>NOT(ISERROR(SEARCH("ENTREGADO",BB40)))</formula>
    </cfRule>
    <cfRule type="containsText" dxfId="817" priority="7239" operator="containsText" text="ENTREGADO">
      <formula>NOT(ISERROR(SEARCH("ENTREGADO",BB40)))</formula>
    </cfRule>
    <cfRule type="containsText" dxfId="816" priority="7290" operator="containsText" text="ENTREGADO">
      <formula>NOT(ISERROR(SEARCH("ENTREGADO",#REF!)))</formula>
    </cfRule>
  </conditionalFormatting>
  <conditionalFormatting sqref="BB41 BD41:BG41">
    <cfRule type="containsText" dxfId="815" priority="3777" operator="containsText" text="ENTREGADO">
      <formula>NOT(ISERROR(SEARCH("ENTREGADO",BB41)))</formula>
    </cfRule>
  </conditionalFormatting>
  <conditionalFormatting sqref="BB41">
    <cfRule type="containsText" dxfId="814" priority="3775" operator="containsText" text="PENDIENTE">
      <formula>NOT(ISERROR(SEARCH("PENDIENTE",BB41)))</formula>
    </cfRule>
    <cfRule type="containsText" dxfId="813" priority="3776" operator="containsText" text="ENTREGADO">
      <formula>NOT(ISERROR(SEARCH("ENTREGADO",BB41)))</formula>
    </cfRule>
    <cfRule type="containsText" dxfId="812" priority="3781" operator="containsText" text="ENTREGADO">
      <formula>NOT(ISERROR(SEARCH("ENTREGADO",BB41)))</formula>
    </cfRule>
    <cfRule type="containsText" dxfId="811" priority="3782" operator="containsText" text="ENTREGADO">
      <formula>NOT(ISERROR(SEARCH("ENTREGADO",BB41)))</formula>
    </cfRule>
    <cfRule type="containsText" dxfId="810" priority="3768" operator="containsText" text="ENTREGADO">
      <formula>NOT(ISERROR(SEARCH("ENTREGADO",BB41)))</formula>
    </cfRule>
    <cfRule type="containsText" dxfId="809" priority="3769" operator="containsText" text="PENDIENTE">
      <formula>NOT(ISERROR(SEARCH("PENDIENTE",#REF!)))</formula>
    </cfRule>
    <cfRule type="containsText" dxfId="808" priority="3767" operator="containsText" text="ENTREGADO">
      <formula>NOT(ISERROR(SEARCH("ENTREGADO",BB41)))</formula>
    </cfRule>
    <cfRule type="containsText" dxfId="807" priority="3766" operator="containsText" text="ENTREGADO">
      <formula>NOT(ISERROR(SEARCH("ENTREGADO",#REF!)))</formula>
    </cfRule>
    <cfRule type="containsText" dxfId="806" priority="3908" operator="containsText" text="PENDIENTE">
      <formula>NOT(ISERROR(SEARCH("PENDIENTE",BB41)))</formula>
    </cfRule>
    <cfRule type="containsText" dxfId="805" priority="3907" operator="containsText" text="ENTREGADO">
      <formula>NOT(ISERROR(SEARCH("ENTREGADO",BB41)))</formula>
    </cfRule>
    <cfRule type="containsText" dxfId="804" priority="3906" operator="containsText" text="ENTREGADO">
      <formula>NOT(ISERROR(SEARCH("ENTREGADO",BB41)))</formula>
    </cfRule>
    <cfRule type="containsText" dxfId="803" priority="3905" operator="containsText" text="PRIORIDAD">
      <formula>NOT(ISERROR(SEARCH("PRIORIDAD",BB41)))</formula>
    </cfRule>
    <cfRule type="containsText" dxfId="802" priority="3903" operator="containsText" text="ENTREGADO">
      <formula>NOT(ISERROR(SEARCH("ENTREGADO",#REF!)))</formula>
    </cfRule>
    <cfRule type="containsText" dxfId="801" priority="3770" operator="containsText" text="PENDIENTE">
      <formula>NOT(ISERROR(SEARCH("PENDIENTE",#REF!)))</formula>
    </cfRule>
    <cfRule type="containsText" dxfId="800" priority="3866" operator="containsText" text="ENTREGADO">
      <formula>NOT(ISERROR(SEARCH("ENTREGADO",BB41)))</formula>
    </cfRule>
    <cfRule type="containsText" dxfId="799" priority="3864" operator="containsText" text="ENTREGADO">
      <formula>NOT(ISERROR(SEARCH("ENTREGADO",#REF!)))</formula>
    </cfRule>
    <cfRule type="containsText" dxfId="798" priority="3771" operator="containsText" text="ENTREGADO">
      <formula>NOT(ISERROR(SEARCH("ENTREGADO",#REF!)))</formula>
    </cfRule>
    <cfRule type="containsText" dxfId="797" priority="3772" operator="containsText" text="PRIORIDAD">
      <formula>NOT(ISERROR(SEARCH("PRIORIDAD",BB41)))</formula>
    </cfRule>
    <cfRule type="containsText" dxfId="796" priority="3915" operator="containsText" text="PENDIENTE">
      <formula>NOT(ISERROR(SEARCH("PENDIENTE",BB41)))</formula>
    </cfRule>
    <cfRule type="containsText" dxfId="795" priority="3773" operator="containsText" text="ENTREGADO">
      <formula>NOT(ISERROR(SEARCH("ENTREGADO",BB41)))</formula>
    </cfRule>
    <cfRule type="containsText" dxfId="794" priority="3774" operator="containsText" text="ENTREGADO">
      <formula>NOT(ISERROR(SEARCH("ENTREGADO",BB41)))</formula>
    </cfRule>
  </conditionalFormatting>
  <conditionalFormatting sqref="BB42:BB44">
    <cfRule type="containsText" dxfId="793" priority="12847" operator="containsText" text="ENTREGADO">
      <formula>NOT(ISERROR(SEARCH("ENTREGADO",BB42)))</formula>
    </cfRule>
    <cfRule type="containsText" dxfId="792" priority="12846" operator="containsText" text="ENTREGADO">
      <formula>NOT(ISERROR(SEARCH("ENTREGADO",BB42)))</formula>
    </cfRule>
    <cfRule type="containsText" dxfId="791" priority="12843" operator="containsText" text="ENTREGADO">
      <formula>NOT(ISERROR(SEARCH("ENTREGADO",#REF!)))</formula>
    </cfRule>
    <cfRule type="containsText" dxfId="790" priority="12864" operator="containsText" text="PENDIENTE">
      <formula>NOT(ISERROR(SEARCH("PENDIENTE",BB42)))</formula>
    </cfRule>
    <cfRule type="containsText" dxfId="789" priority="12863" operator="containsText" text="ENTREGADO">
      <formula>NOT(ISERROR(SEARCH("ENTREGADO",BB42)))</formula>
    </cfRule>
    <cfRule type="containsText" dxfId="788" priority="12860" operator="containsText" text="ENTREGADO">
      <formula>NOT(ISERROR(SEARCH("ENTREGADO",#REF!)))</formula>
    </cfRule>
    <cfRule type="containsText" dxfId="787" priority="12859" operator="containsText" text="PENDIENTE">
      <formula>NOT(ISERROR(SEARCH("PENDIENTE",#REF!)))</formula>
    </cfRule>
    <cfRule type="containsText" dxfId="786" priority="12858" operator="containsText" text="PENDIENTE">
      <formula>NOT(ISERROR(SEARCH("PENDIENTE",BB42)))</formula>
    </cfRule>
    <cfRule type="containsText" dxfId="785" priority="12857" operator="containsText" text="PENDIENTE">
      <formula>NOT(ISERROR(SEARCH("PENDIENTE",#REF!)))</formula>
    </cfRule>
  </conditionalFormatting>
  <conditionalFormatting sqref="BB42:BB45">
    <cfRule type="containsText" dxfId="784" priority="11722" operator="containsText" text="ENTREGADO">
      <formula>NOT(ISERROR(SEARCH("ENTREGADO",BB42)))</formula>
    </cfRule>
    <cfRule type="containsText" dxfId="783" priority="11721" operator="containsText" text="ENTREGADO">
      <formula>NOT(ISERROR(SEARCH("ENTREGADO",BB42)))</formula>
    </cfRule>
  </conditionalFormatting>
  <conditionalFormatting sqref="BB45">
    <cfRule type="containsText" dxfId="782" priority="11717" operator="containsText" text="PENDIENTE">
      <formula>NOT(ISERROR(SEARCH("PENDIENTE",BB45)))</formula>
    </cfRule>
    <cfRule type="containsText" dxfId="781" priority="11716" operator="containsText" text="PENDIENTE">
      <formula>NOT(ISERROR(SEARCH("PENDIENTE",#REF!)))</formula>
    </cfRule>
    <cfRule type="containsText" dxfId="780" priority="11694" operator="containsText" text="ENTREGADO">
      <formula>NOT(ISERROR(SEARCH("ENTREGADO",BB45)))</formula>
    </cfRule>
    <cfRule type="containsText" dxfId="779" priority="11720" operator="containsText" text="PRIORIDAD">
      <formula>NOT(ISERROR(SEARCH("PRIORIDAD",BB45)))</formula>
    </cfRule>
    <cfRule type="containsText" dxfId="778" priority="11719" operator="containsText" text="ENTREGADO">
      <formula>NOT(ISERROR(SEARCH("ENTREGADO",#REF!)))</formula>
    </cfRule>
    <cfRule type="containsText" dxfId="777" priority="11723" operator="containsText" text="PENDIENTE">
      <formula>NOT(ISERROR(SEARCH("PENDIENTE",BB45)))</formula>
    </cfRule>
    <cfRule type="containsText" dxfId="776" priority="11706" operator="containsText" text="ENTREGADO">
      <formula>NOT(ISERROR(SEARCH("ENTREGADO",BB45)))</formula>
    </cfRule>
    <cfRule type="containsText" dxfId="775" priority="11705" operator="containsText" text="ENTREGADO">
      <formula>NOT(ISERROR(SEARCH("ENTREGADO",BB45)))</formula>
    </cfRule>
    <cfRule type="containsText" dxfId="774" priority="11702" operator="containsText" text="ENTREGADO">
      <formula>NOT(ISERROR(SEARCH("ENTREGADO",#REF!)))</formula>
    </cfRule>
  </conditionalFormatting>
  <conditionalFormatting sqref="BB46:BB49">
    <cfRule type="containsText" dxfId="773" priority="4427" operator="containsText" text="PRIORIDAD">
      <formula>NOT(ISERROR(SEARCH("PRIORIDAD",BB46)))</formula>
    </cfRule>
    <cfRule type="containsText" dxfId="772" priority="4423" operator="containsText" text="ENTREGADO">
      <formula>NOT(ISERROR(SEARCH("ENTREGADO",BB46)))</formula>
    </cfRule>
    <cfRule type="containsText" dxfId="771" priority="4424" operator="containsText" text="PENDIENTE">
      <formula>NOT(ISERROR(SEARCH("PENDIENTE",#REF!)))</formula>
    </cfRule>
    <cfRule type="containsText" dxfId="770" priority="4426" operator="containsText" text="ENTREGADO">
      <formula>NOT(ISERROR(SEARCH("ENTREGADO",#REF!)))</formula>
    </cfRule>
    <cfRule type="containsText" dxfId="769" priority="4425" operator="containsText" text="PENDIENTE">
      <formula>NOT(ISERROR(SEARCH("PENDIENTE",BB46)))</formula>
    </cfRule>
    <cfRule type="containsText" dxfId="768" priority="4420" operator="containsText" text="ENTREGADO">
      <formula>NOT(ISERROR(SEARCH("ENTREGADO",BB46)))</formula>
    </cfRule>
    <cfRule type="containsText" dxfId="767" priority="4421" operator="containsText" text="ENTREGADO">
      <formula>NOT(ISERROR(SEARCH("ENTREGADO",#REF!)))</formula>
    </cfRule>
    <cfRule type="containsText" dxfId="766" priority="4422" operator="containsText" text="ENTREGADO">
      <formula>NOT(ISERROR(SEARCH("ENTREGADO",BB46)))</formula>
    </cfRule>
    <cfRule type="containsText" dxfId="765" priority="4428" operator="containsText" text="ENTREGADO">
      <formula>NOT(ISERROR(SEARCH("ENTREGADO",BB46)))</formula>
    </cfRule>
    <cfRule type="containsText" dxfId="764" priority="4429" operator="containsText" text="ENTREGADO">
      <formula>NOT(ISERROR(SEARCH("ENTREGADO",BB46)))</formula>
    </cfRule>
    <cfRule type="containsText" dxfId="763" priority="4430" operator="containsText" text="PENDIENTE">
      <formula>NOT(ISERROR(SEARCH("PENDIENTE",BB46)))</formula>
    </cfRule>
  </conditionalFormatting>
  <conditionalFormatting sqref="BB50">
    <cfRule type="containsText" dxfId="762" priority="9239" operator="containsText" text="PRIORIDAD">
      <formula>NOT(ISERROR(SEARCH("PRIORIDAD",BB50)))</formula>
    </cfRule>
    <cfRule type="containsText" dxfId="761" priority="9242" operator="containsText" text="PENDIENTE">
      <formula>NOT(ISERROR(SEARCH("PENDIENTE",BB50)))</formula>
    </cfRule>
    <cfRule type="containsText" dxfId="760" priority="9241" operator="containsText" text="ENTREGADO">
      <formula>NOT(ISERROR(SEARCH("ENTREGADO",BB50)))</formula>
    </cfRule>
    <cfRule type="containsText" dxfId="759" priority="9240" operator="containsText" text="ENTREGADO">
      <formula>NOT(ISERROR(SEARCH("ENTREGADO",BB50)))</formula>
    </cfRule>
    <cfRule type="containsText" dxfId="758" priority="9213" operator="containsText" text="ENTREGADO">
      <formula>NOT(ISERROR(SEARCH("ENTREGADO",BB50)))</formula>
    </cfRule>
    <cfRule type="containsText" dxfId="757" priority="9225" operator="containsText" text="ENTREGADO">
      <formula>NOT(ISERROR(SEARCH("ENTREGADO",BB50)))</formula>
    </cfRule>
    <cfRule type="containsText" dxfId="756" priority="9238" operator="containsText" text="ENTREGADO">
      <formula>NOT(ISERROR(SEARCH("ENTREGADO",#REF!)))</formula>
    </cfRule>
    <cfRule type="containsText" dxfId="755" priority="9236" operator="containsText" text="PENDIENTE">
      <formula>NOT(ISERROR(SEARCH("PENDIENTE",BB50)))</formula>
    </cfRule>
    <cfRule type="containsText" dxfId="754" priority="9235" operator="containsText" text="PENDIENTE">
      <formula>NOT(ISERROR(SEARCH("PENDIENTE",#REF!)))</formula>
    </cfRule>
    <cfRule type="containsText" dxfId="753" priority="9224" operator="containsText" text="ENTREGADO">
      <formula>NOT(ISERROR(SEARCH("ENTREGADO",BB50)))</formula>
    </cfRule>
    <cfRule type="containsText" dxfId="752" priority="9221" operator="containsText" text="ENTREGADO">
      <formula>NOT(ISERROR(SEARCH("ENTREGADO",#REF!)))</formula>
    </cfRule>
  </conditionalFormatting>
  <conditionalFormatting sqref="BB51">
    <cfRule type="containsText" dxfId="751" priority="11435" operator="containsText" text="PENDIENTE">
      <formula>NOT(ISERROR(SEARCH("PENDIENTE",BB51)))</formula>
    </cfRule>
    <cfRule type="containsText" dxfId="750" priority="11434" operator="containsText" text="PENDIENTE">
      <formula>NOT(ISERROR(SEARCH("PENDIENTE",#REF!)))</formula>
    </cfRule>
    <cfRule type="containsText" dxfId="749" priority="11438" operator="containsText" text="PRIORIDAD">
      <formula>NOT(ISERROR(SEARCH("PRIORIDAD",BB51)))</formula>
    </cfRule>
    <cfRule type="containsText" dxfId="748" priority="11440" operator="containsText" text="ENTREGADO">
      <formula>NOT(ISERROR(SEARCH("ENTREGADO",BB51)))</formula>
    </cfRule>
    <cfRule type="containsText" dxfId="747" priority="11441" operator="containsText" text="PENDIENTE">
      <formula>NOT(ISERROR(SEARCH("PENDIENTE",BB51)))</formula>
    </cfRule>
    <cfRule type="containsText" dxfId="746" priority="11437" operator="containsText" text="ENTREGADO">
      <formula>NOT(ISERROR(SEARCH("ENTREGADO",#REF!)))</formula>
    </cfRule>
    <cfRule type="containsText" dxfId="745" priority="11439" operator="containsText" text="ENTREGADO">
      <formula>NOT(ISERROR(SEARCH("ENTREGADO",BB51)))</formula>
    </cfRule>
    <cfRule type="containsText" dxfId="744" priority="11424" operator="containsText" text="ENTREGADO">
      <formula>NOT(ISERROR(SEARCH("ENTREGADO",BB51)))</formula>
    </cfRule>
    <cfRule type="containsText" dxfId="743" priority="11412" operator="containsText" text="ENTREGADO">
      <formula>NOT(ISERROR(SEARCH("ENTREGADO",BB51)))</formula>
    </cfRule>
    <cfRule type="containsText" dxfId="742" priority="11420" operator="containsText" text="ENTREGADO">
      <formula>NOT(ISERROR(SEARCH("ENTREGADO",#REF!)))</formula>
    </cfRule>
    <cfRule type="containsText" dxfId="741" priority="11423" operator="containsText" text="ENTREGADO">
      <formula>NOT(ISERROR(SEARCH("ENTREGADO",BB51)))</formula>
    </cfRule>
  </conditionalFormatting>
  <conditionalFormatting sqref="BB52:BB53">
    <cfRule type="containsText" dxfId="740" priority="11152" operator="containsText" text="PENDIENTE">
      <formula>NOT(ISERROR(SEARCH("PENDIENTE",#REF!)))</formula>
    </cfRule>
    <cfRule type="containsText" dxfId="739" priority="11153" operator="containsText" text="PENDIENTE">
      <formula>NOT(ISERROR(SEARCH("PENDIENTE",BB52)))</formula>
    </cfRule>
    <cfRule type="containsText" dxfId="738" priority="11155" operator="containsText" text="ENTREGADO">
      <formula>NOT(ISERROR(SEARCH("ENTREGADO",#REF!)))</formula>
    </cfRule>
    <cfRule type="containsText" dxfId="737" priority="11156" operator="containsText" text="PRIORIDAD">
      <formula>NOT(ISERROR(SEARCH("PRIORIDAD",BB52)))</formula>
    </cfRule>
    <cfRule type="containsText" dxfId="736" priority="11157" operator="containsText" text="ENTREGADO">
      <formula>NOT(ISERROR(SEARCH("ENTREGADO",BB52)))</formula>
    </cfRule>
    <cfRule type="containsText" dxfId="735" priority="11130" operator="containsText" text="ENTREGADO">
      <formula>NOT(ISERROR(SEARCH("ENTREGADO",BB52)))</formula>
    </cfRule>
    <cfRule type="containsText" dxfId="734" priority="11158" operator="containsText" text="ENTREGADO">
      <formula>NOT(ISERROR(SEARCH("ENTREGADO",BB52)))</formula>
    </cfRule>
    <cfRule type="containsText" dxfId="733" priority="11159" operator="containsText" text="PENDIENTE">
      <formula>NOT(ISERROR(SEARCH("PENDIENTE",BB52)))</formula>
    </cfRule>
    <cfRule type="containsText" dxfId="732" priority="11138" operator="containsText" text="ENTREGADO">
      <formula>NOT(ISERROR(SEARCH("ENTREGADO",#REF!)))</formula>
    </cfRule>
    <cfRule type="containsText" dxfId="731" priority="11142" operator="containsText" text="ENTREGADO">
      <formula>NOT(ISERROR(SEARCH("ENTREGADO",BB52)))</formula>
    </cfRule>
    <cfRule type="containsText" dxfId="730" priority="11141" operator="containsText" text="ENTREGADO">
      <formula>NOT(ISERROR(SEARCH("ENTREGADO",BB52)))</formula>
    </cfRule>
  </conditionalFormatting>
  <conditionalFormatting sqref="BB53">
    <cfRule type="containsText" dxfId="729" priority="259" operator="containsText" text="PENDIENTE">
      <formula>NOT(ISERROR(SEARCH("PENDIENTE",BB53)))</formula>
    </cfRule>
    <cfRule type="containsText" dxfId="728" priority="258" operator="containsText" text="ENTREGADO">
      <formula>NOT(ISERROR(SEARCH("ENTREGADO",BB53)))</formula>
    </cfRule>
    <cfRule type="containsText" dxfId="727" priority="257" operator="containsText" text="ENTREGADO">
      <formula>NOT(ISERROR(SEARCH("ENTREGADO",BB53)))</formula>
    </cfRule>
    <cfRule type="containsText" dxfId="726" priority="255" operator="containsText" text="ENTREGADO">
      <formula>NOT(ISERROR(SEARCH("ENTREGADO",#REF!)))</formula>
    </cfRule>
    <cfRule type="containsText" dxfId="725" priority="254" operator="containsText" text="PENDIENTE">
      <formula>NOT(ISERROR(SEARCH("PENDIENTE",#REF!)))</formula>
    </cfRule>
    <cfRule type="containsText" dxfId="724" priority="253" operator="containsText" text="PENDIENTE">
      <formula>NOT(ISERROR(SEARCH("PENDIENTE",BB53)))</formula>
    </cfRule>
    <cfRule type="containsText" dxfId="723" priority="256" operator="containsText" text="PRIORIDAD">
      <formula>NOT(ISERROR(SEARCH("PRIORIDAD",BB53)))</formula>
    </cfRule>
    <cfRule type="containsText" dxfId="722" priority="251" operator="containsText" text="ENTREGADO">
      <formula>NOT(ISERROR(SEARCH("ENTREGADO",BB53)))</formula>
    </cfRule>
    <cfRule type="containsText" dxfId="721" priority="250" operator="containsText" text="ENTREGADO">
      <formula>NOT(ISERROR(SEARCH("ENTREGADO",BB53)))</formula>
    </cfRule>
    <cfRule type="containsText" dxfId="720" priority="249" operator="containsText" text="ENTREGADO">
      <formula>NOT(ISERROR(SEARCH("ENTREGADO",#REF!)))</formula>
    </cfRule>
    <cfRule type="containsText" dxfId="719" priority="248" operator="containsText" text="ENTREGADO">
      <formula>NOT(ISERROR(SEARCH("ENTREGADO",BB53)))</formula>
    </cfRule>
    <cfRule type="containsText" dxfId="718" priority="252" operator="containsText" text="PENDIENTE">
      <formula>NOT(ISERROR(SEARCH("PENDIENTE",#REF!)))</formula>
    </cfRule>
  </conditionalFormatting>
  <conditionalFormatting sqref="BB54">
    <cfRule type="containsText" dxfId="717" priority="7880" operator="containsText" text="PENDIENTE">
      <formula>NOT(ISERROR(SEARCH("PENDIENTE",#REF!)))</formula>
    </cfRule>
    <cfRule type="containsText" dxfId="716" priority="7885" operator="containsText" text="PENDIENTE">
      <formula>NOT(ISERROR(SEARCH("PENDIENTE",BB54)))</formula>
    </cfRule>
    <cfRule type="containsText" dxfId="715" priority="7864" operator="containsText" text="ENTREGADO">
      <formula>NOT(ISERROR(SEARCH("ENTREGADO",#REF!)))</formula>
    </cfRule>
    <cfRule type="containsText" dxfId="714" priority="7883" operator="containsText" text="ENTREGADO">
      <formula>NOT(ISERROR(SEARCH("ENTREGADO",BB54)))</formula>
    </cfRule>
    <cfRule type="containsText" dxfId="713" priority="7882" operator="containsText" text="PRIORIDAD">
      <formula>NOT(ISERROR(SEARCH("PRIORIDAD",BB54)))</formula>
    </cfRule>
    <cfRule type="containsText" dxfId="712" priority="7879" operator="containsText" text="PENDIENTE">
      <formula>NOT(ISERROR(SEARCH("PENDIENTE",BB54)))</formula>
    </cfRule>
    <cfRule type="containsText" dxfId="711" priority="7884" operator="containsText" text="ENTREGADO">
      <formula>NOT(ISERROR(SEARCH("ENTREGADO",BB54)))</formula>
    </cfRule>
    <cfRule type="containsText" dxfId="710" priority="7881" operator="containsText" text="ENTREGADO">
      <formula>NOT(ISERROR(SEARCH("ENTREGADO",#REF!)))</formula>
    </cfRule>
    <cfRule type="containsText" dxfId="709" priority="7856" operator="containsText" text="ENTREGADO">
      <formula>NOT(ISERROR(SEARCH("ENTREGADO",BB54)))</formula>
    </cfRule>
    <cfRule type="containsText" dxfId="708" priority="7868" operator="containsText" text="ENTREGADO">
      <formula>NOT(ISERROR(SEARCH("ENTREGADO",BB54)))</formula>
    </cfRule>
    <cfRule type="containsText" dxfId="707" priority="7878" operator="containsText" text="PENDIENTE">
      <formula>NOT(ISERROR(SEARCH("PENDIENTE",#REF!)))</formula>
    </cfRule>
    <cfRule type="containsText" dxfId="706" priority="7867" operator="containsText" text="ENTREGADO">
      <formula>NOT(ISERROR(SEARCH("ENTREGADO",BB54)))</formula>
    </cfRule>
  </conditionalFormatting>
  <conditionalFormatting sqref="BB55">
    <cfRule type="containsText" dxfId="705" priority="636" operator="containsText" text="ENTREGADO">
      <formula>NOT(ISERROR(SEARCH("ENTREGADO",BB55)))</formula>
    </cfRule>
    <cfRule type="containsText" dxfId="704" priority="644" operator="containsText" text="PENDIENTE">
      <formula>NOT(ISERROR(SEARCH("PENDIENTE",BB55)))</formula>
    </cfRule>
    <cfRule type="containsText" dxfId="703" priority="643" operator="containsText" text="ENTREGADO">
      <formula>NOT(ISERROR(SEARCH("ENTREGADO",BB55)))</formula>
    </cfRule>
    <cfRule type="containsText" dxfId="702" priority="642" operator="containsText" text="ENTREGADO">
      <formula>NOT(ISERROR(SEARCH("ENTREGADO",BB55)))</formula>
    </cfRule>
    <cfRule type="containsText" dxfId="701" priority="637" operator="containsText" text="ENTREGADO">
      <formula>NOT(ISERROR(SEARCH("ENTREGADO",BB55)))</formula>
    </cfRule>
    <cfRule type="containsText" dxfId="700" priority="635" operator="containsText" text="ENTREGADO">
      <formula>NOT(ISERROR(SEARCH("ENTREGADO",#REF!)))</formula>
    </cfRule>
    <cfRule type="containsText" dxfId="699" priority="634" operator="containsText" text="ENTREGADO">
      <formula>NOT(ISERROR(SEARCH("ENTREGADO",BB55)))</formula>
    </cfRule>
    <cfRule type="containsText" dxfId="698" priority="638" operator="containsText" text="PENDIENTE">
      <formula>NOT(ISERROR(SEARCH("PENDIENTE",#REF!)))</formula>
    </cfRule>
    <cfRule type="containsText" dxfId="697" priority="639" operator="containsText" text="PENDIENTE">
      <formula>NOT(ISERROR(SEARCH("PENDIENTE",BB55)))</formula>
    </cfRule>
    <cfRule type="containsText" dxfId="696" priority="640" operator="containsText" text="ENTREGADO">
      <formula>NOT(ISERROR(SEARCH("ENTREGADO",#REF!)))</formula>
    </cfRule>
    <cfRule type="containsText" dxfId="695" priority="641" operator="containsText" text="PRIORIDAD">
      <formula>NOT(ISERROR(SEARCH("PRIORIDAD",BB55)))</formula>
    </cfRule>
  </conditionalFormatting>
  <conditionalFormatting sqref="BB56">
    <cfRule type="containsText" dxfId="694" priority="7025" operator="containsText" text="PRIORIDAD">
      <formula>NOT(ISERROR(SEARCH("PRIORIDAD",BB56)))</formula>
    </cfRule>
    <cfRule type="containsText" dxfId="693" priority="7011" operator="containsText" text="ENTREGADO">
      <formula>NOT(ISERROR(SEARCH("ENTREGADO",BB56)))</formula>
    </cfRule>
    <cfRule type="containsText" dxfId="692" priority="7023" operator="containsText" text="PENDIENTE">
      <formula>NOT(ISERROR(SEARCH("PENDIENTE",BB56)))</formula>
    </cfRule>
    <cfRule type="containsText" dxfId="691" priority="7012" operator="containsText" text="ENTREGADO">
      <formula>NOT(ISERROR(SEARCH("ENTREGADO",BB56)))</formula>
    </cfRule>
    <cfRule type="containsText" dxfId="690" priority="7022" operator="containsText" text="PENDIENTE">
      <formula>NOT(ISERROR(SEARCH("PENDIENTE",#REF!)))</formula>
    </cfRule>
    <cfRule type="containsText" dxfId="689" priority="7028" operator="containsText" text="PENDIENTE">
      <formula>NOT(ISERROR(SEARCH("PENDIENTE",BB56)))</formula>
    </cfRule>
    <cfRule type="containsText" dxfId="688" priority="7024" operator="containsText" text="ENTREGADO">
      <formula>NOT(ISERROR(SEARCH("ENTREGADO",#REF!)))</formula>
    </cfRule>
    <cfRule type="containsText" dxfId="687" priority="7026" operator="containsText" text="ENTREGADO">
      <formula>NOT(ISERROR(SEARCH("ENTREGADO",BB56)))</formula>
    </cfRule>
    <cfRule type="containsText" dxfId="686" priority="7027" operator="containsText" text="ENTREGADO">
      <formula>NOT(ISERROR(SEARCH("ENTREGADO",BB56)))</formula>
    </cfRule>
    <cfRule type="containsText" dxfId="685" priority="7003" operator="containsText" text="ENTREGADO">
      <formula>NOT(ISERROR(SEARCH("ENTREGADO",BB56)))</formula>
    </cfRule>
    <cfRule type="containsText" dxfId="684" priority="7008" operator="containsText" text="ENTREGADO">
      <formula>NOT(ISERROR(SEARCH("ENTREGADO",#REF!)))</formula>
    </cfRule>
  </conditionalFormatting>
  <conditionalFormatting sqref="BB57 BB62:BB69">
    <cfRule type="containsText" dxfId="683" priority="25729" operator="containsText" text="ENTREGADO">
      <formula>NOT(ISERROR(SEARCH("ENTREGADO",#REF!)))</formula>
    </cfRule>
  </conditionalFormatting>
  <conditionalFormatting sqref="BB57">
    <cfRule type="containsText" dxfId="682" priority="25728" operator="containsText" text="PENDIENTE">
      <formula>NOT(ISERROR(SEARCH("PENDIENTE",#REF!)))</formula>
    </cfRule>
    <cfRule type="containsText" dxfId="681" priority="25725" operator="containsText" text="ENTREGADO">
      <formula>NOT(ISERROR(SEARCH("ENTREGADO",BB57)))</formula>
    </cfRule>
    <cfRule type="containsText" dxfId="680" priority="25724" operator="containsText" text="ENTREGADO">
      <formula>NOT(ISERROR(SEARCH("ENTREGADO",BB57)))</formula>
    </cfRule>
  </conditionalFormatting>
  <conditionalFormatting sqref="BB58 BB62:BB69">
    <cfRule type="containsText" dxfId="679" priority="9111" operator="containsText" text="ENTREGADO">
      <formula>NOT(ISERROR(SEARCH("ENTREGADO",BB58)))</formula>
    </cfRule>
  </conditionalFormatting>
  <conditionalFormatting sqref="BB58">
    <cfRule type="containsText" dxfId="678" priority="9109" operator="containsText" text="PRIORIDAD">
      <formula>NOT(ISERROR(SEARCH("PRIORIDAD",BB58)))</formula>
    </cfRule>
    <cfRule type="containsText" dxfId="677" priority="9112" operator="containsText" text="PENDIENTE">
      <formula>NOT(ISERROR(SEARCH("PENDIENTE",BB58)))</formula>
    </cfRule>
    <cfRule type="containsText" dxfId="676" priority="9108" operator="containsText" text="ENTREGADO">
      <formula>NOT(ISERROR(SEARCH("ENTREGADO",#REF!)))</formula>
    </cfRule>
    <cfRule type="containsText" dxfId="675" priority="9106" operator="containsText" text="PENDIENTE">
      <formula>NOT(ISERROR(SEARCH("PENDIENTE",BB58)))</formula>
    </cfRule>
    <cfRule type="containsText" dxfId="674" priority="9105" operator="containsText" text="PENDIENTE">
      <formula>NOT(ISERROR(SEARCH("PENDIENTE",#REF!)))</formula>
    </cfRule>
    <cfRule type="containsText" dxfId="673" priority="9095" operator="containsText" text="ENTREGADO">
      <formula>NOT(ISERROR(SEARCH("ENTREGADO",BB58)))</formula>
    </cfRule>
    <cfRule type="containsText" dxfId="672" priority="9094" operator="containsText" text="ENTREGADO">
      <formula>NOT(ISERROR(SEARCH("ENTREGADO",BB58)))</formula>
    </cfRule>
    <cfRule type="containsText" dxfId="671" priority="9091" operator="containsText" text="ENTREGADO">
      <formula>NOT(ISERROR(SEARCH("ENTREGADO",#REF!)))</formula>
    </cfRule>
    <cfRule type="containsText" dxfId="670" priority="9083" operator="containsText" text="ENTREGADO">
      <formula>NOT(ISERROR(SEARCH("ENTREGADO",BB58)))</formula>
    </cfRule>
    <cfRule type="containsText" dxfId="669" priority="9110" operator="containsText" text="ENTREGADO">
      <formula>NOT(ISERROR(SEARCH("ENTREGADO",BB58)))</formula>
    </cfRule>
  </conditionalFormatting>
  <conditionalFormatting sqref="BB59">
    <cfRule type="containsText" dxfId="668" priority="3538" operator="containsText" text="ENTREGADO">
      <formula>NOT(ISERROR(SEARCH("ENTREGADO",BB59)))</formula>
    </cfRule>
    <cfRule type="containsText" dxfId="667" priority="3537" operator="containsText" text="ENTREGADO">
      <formula>NOT(ISERROR(SEARCH("ENTREGADO",#REF!)))</formula>
    </cfRule>
    <cfRule type="containsText" dxfId="666" priority="3536" operator="containsText" text="ENTREGADO">
      <formula>NOT(ISERROR(SEARCH("ENTREGADO",BB59)))</formula>
    </cfRule>
    <cfRule type="containsText" dxfId="665" priority="3540" operator="containsText" text="PENDIENTE">
      <formula>NOT(ISERROR(SEARCH("PENDIENTE",#REF!)))</formula>
    </cfRule>
    <cfRule type="containsText" dxfId="664" priority="3542" operator="containsText" text="ENTREGADO">
      <formula>NOT(ISERROR(SEARCH("ENTREGADO",#REF!)))</formula>
    </cfRule>
    <cfRule type="containsText" dxfId="663" priority="3541" operator="containsText" text="PENDIENTE">
      <formula>NOT(ISERROR(SEARCH("PENDIENTE",BB59)))</formula>
    </cfRule>
    <cfRule type="containsText" dxfId="662" priority="3543" operator="containsText" text="PRIORIDAD">
      <formula>NOT(ISERROR(SEARCH("PRIORIDAD",BB59)))</formula>
    </cfRule>
    <cfRule type="containsText" dxfId="661" priority="3544" operator="containsText" text="ENTREGADO">
      <formula>NOT(ISERROR(SEARCH("ENTREGADO",BB59)))</formula>
    </cfRule>
    <cfRule type="containsText" dxfId="660" priority="3545" operator="containsText" text="ENTREGADO">
      <formula>NOT(ISERROR(SEARCH("ENTREGADO",BB59)))</formula>
    </cfRule>
    <cfRule type="containsText" dxfId="659" priority="3539" operator="containsText" text="ENTREGADO">
      <formula>NOT(ISERROR(SEARCH("ENTREGADO",BB59)))</formula>
    </cfRule>
    <cfRule type="containsText" dxfId="658" priority="3546" operator="containsText" text="PENDIENTE">
      <formula>NOT(ISERROR(SEARCH("PENDIENTE",BB59)))</formula>
    </cfRule>
  </conditionalFormatting>
  <conditionalFormatting sqref="BB60">
    <cfRule type="containsText" dxfId="657" priority="4710" operator="containsText" text="PRIORIDAD">
      <formula>NOT(ISERROR(SEARCH("PRIORIDAD",BB60)))</formula>
    </cfRule>
    <cfRule type="containsText" dxfId="656" priority="4712" operator="containsText" text="ENTREGADO">
      <formula>NOT(ISERROR(SEARCH("ENTREGADO",BB60)))</formula>
    </cfRule>
    <cfRule type="containsText" dxfId="655" priority="4713" operator="containsText" text="PENDIENTE">
      <formula>NOT(ISERROR(SEARCH("PENDIENTE",BB60)))</formula>
    </cfRule>
    <cfRule type="containsText" dxfId="654" priority="4703" operator="containsText" text="ENTREGADO">
      <formula>NOT(ISERROR(SEARCH("ENTREGADO",BB60)))</formula>
    </cfRule>
    <cfRule type="containsText" dxfId="653" priority="4704" operator="containsText" text="ENTREGADO">
      <formula>NOT(ISERROR(SEARCH("ENTREGADO",#REF!)))</formula>
    </cfRule>
    <cfRule type="containsText" dxfId="652" priority="4711" operator="containsText" text="ENTREGADO">
      <formula>NOT(ISERROR(SEARCH("ENTREGADO",BB60)))</formula>
    </cfRule>
    <cfRule type="containsText" dxfId="651" priority="4706" operator="containsText" text="ENTREGADO">
      <formula>NOT(ISERROR(SEARCH("ENTREGADO",BB60)))</formula>
    </cfRule>
    <cfRule type="containsText" dxfId="650" priority="4707" operator="containsText" text="PENDIENTE">
      <formula>NOT(ISERROR(SEARCH("PENDIENTE",#REF!)))</formula>
    </cfRule>
    <cfRule type="containsText" dxfId="649" priority="4708" operator="containsText" text="PENDIENTE">
      <formula>NOT(ISERROR(SEARCH("PENDIENTE",BB60)))</formula>
    </cfRule>
    <cfRule type="containsText" dxfId="648" priority="4705" operator="containsText" text="ENTREGADO">
      <formula>NOT(ISERROR(SEARCH("ENTREGADO",BB60)))</formula>
    </cfRule>
    <cfRule type="containsText" dxfId="647" priority="4709" operator="containsText" text="ENTREGADO">
      <formula>NOT(ISERROR(SEARCH("ENTREGADO",#REF!)))</formula>
    </cfRule>
  </conditionalFormatting>
  <conditionalFormatting sqref="BB61">
    <cfRule type="containsText" dxfId="646" priority="4568" operator="containsText" text="PENDIENTE">
      <formula>NOT(ISERROR(SEARCH("PENDIENTE",#REF!)))</formula>
    </cfRule>
    <cfRule type="containsText" dxfId="645" priority="4569" operator="containsText" text="PENDIENTE">
      <formula>NOT(ISERROR(SEARCH("PENDIENTE",BB61)))</formula>
    </cfRule>
    <cfRule type="containsText" dxfId="644" priority="4564" operator="containsText" text="ENTREGADO">
      <formula>NOT(ISERROR(SEARCH("ENTREGADO",BB61)))</formula>
    </cfRule>
    <cfRule type="containsText" dxfId="643" priority="4565" operator="containsText" text="ENTREGADO">
      <formula>NOT(ISERROR(SEARCH("ENTREGADO",#REF!)))</formula>
    </cfRule>
    <cfRule type="containsText" dxfId="642" priority="4566" operator="containsText" text="ENTREGADO">
      <formula>NOT(ISERROR(SEARCH("ENTREGADO",BB61)))</formula>
    </cfRule>
    <cfRule type="containsText" dxfId="641" priority="4573" operator="containsText" text="ENTREGADO">
      <formula>NOT(ISERROR(SEARCH("ENTREGADO",BB61)))</formula>
    </cfRule>
    <cfRule type="containsText" dxfId="640" priority="4572" operator="containsText" text="ENTREGADO">
      <formula>NOT(ISERROR(SEARCH("ENTREGADO",BB61)))</formula>
    </cfRule>
    <cfRule type="containsText" dxfId="639" priority="4574" operator="containsText" text="PENDIENTE">
      <formula>NOT(ISERROR(SEARCH("PENDIENTE",BB61)))</formula>
    </cfRule>
    <cfRule type="containsText" dxfId="638" priority="4571" operator="containsText" text="PRIORIDAD">
      <formula>NOT(ISERROR(SEARCH("PRIORIDAD",BB61)))</formula>
    </cfRule>
    <cfRule type="containsText" dxfId="637" priority="4570" operator="containsText" text="ENTREGADO">
      <formula>NOT(ISERROR(SEARCH("ENTREGADO",#REF!)))</formula>
    </cfRule>
    <cfRule type="containsText" dxfId="636" priority="4567" operator="containsText" text="ENTREGADO">
      <formula>NOT(ISERROR(SEARCH("ENTREGADO",BB61)))</formula>
    </cfRule>
  </conditionalFormatting>
  <conditionalFormatting sqref="BB70">
    <cfRule type="containsText" dxfId="635" priority="5811" operator="containsText" text="ENTREGADO">
      <formula>NOT(ISERROR(SEARCH("ENTREGADO",BB70)))</formula>
    </cfRule>
    <cfRule type="containsText" dxfId="634" priority="5820" operator="containsText" text="PENDIENTE">
      <formula>NOT(ISERROR(SEARCH("PENDIENTE",#REF!)))</formula>
    </cfRule>
    <cfRule type="containsText" dxfId="633" priority="5821" operator="containsText" text="ENTREGADO">
      <formula>NOT(ISERROR(SEARCH("ENTREGADO",#REF!)))</formula>
    </cfRule>
    <cfRule type="containsText" dxfId="632" priority="5810" operator="containsText" text="ENTREGADO">
      <formula>NOT(ISERROR(SEARCH("ENTREGADO",BB70)))</formula>
    </cfRule>
  </conditionalFormatting>
  <conditionalFormatting sqref="BB71">
    <cfRule type="containsText" dxfId="631" priority="9800" operator="containsText" text="ENTREGADO">
      <formula>NOT(ISERROR(SEARCH("ENTREGADO",BB71)))</formula>
    </cfRule>
    <cfRule type="containsText" dxfId="630" priority="9808" operator="containsText" text="ENTREGADO">
      <formula>NOT(ISERROR(SEARCH("ENTREGADO",#REF!)))</formula>
    </cfRule>
    <cfRule type="containsText" dxfId="629" priority="9811" operator="containsText" text="ENTREGADO">
      <formula>NOT(ISERROR(SEARCH("ENTREGADO",BB71)))</formula>
    </cfRule>
    <cfRule type="containsText" dxfId="628" priority="9812" operator="containsText" text="ENTREGADO">
      <formula>NOT(ISERROR(SEARCH("ENTREGADO",BB71)))</formula>
    </cfRule>
    <cfRule type="containsText" dxfId="627" priority="9822" operator="containsText" text="PENDIENTE">
      <formula>NOT(ISERROR(SEARCH("PENDIENTE",#REF!)))</formula>
    </cfRule>
    <cfRule type="containsText" dxfId="626" priority="9823" operator="containsText" text="PENDIENTE">
      <formula>NOT(ISERROR(SEARCH("PENDIENTE",BB71)))</formula>
    </cfRule>
    <cfRule type="containsText" dxfId="625" priority="9824" operator="containsText" text="PENDIENTE">
      <formula>NOT(ISERROR(SEARCH("PENDIENTE",#REF!)))</formula>
    </cfRule>
    <cfRule type="containsText" dxfId="624" priority="9825" operator="containsText" text="ENTREGADO">
      <formula>NOT(ISERROR(SEARCH("ENTREGADO",#REF!)))</formula>
    </cfRule>
    <cfRule type="containsText" dxfId="623" priority="9826" operator="containsText" text="PRIORIDAD">
      <formula>NOT(ISERROR(SEARCH("PRIORIDAD",BB71)))</formula>
    </cfRule>
    <cfRule type="containsText" dxfId="622" priority="9828" operator="containsText" text="ENTREGADO">
      <formula>NOT(ISERROR(SEARCH("ENTREGADO",BB71)))</formula>
    </cfRule>
    <cfRule type="containsText" dxfId="621" priority="9829" operator="containsText" text="PENDIENTE">
      <formula>NOT(ISERROR(SEARCH("PENDIENTE",BB71)))</formula>
    </cfRule>
  </conditionalFormatting>
  <conditionalFormatting sqref="BB72">
    <cfRule type="containsText" dxfId="620" priority="6735" operator="containsText" text="PENDIENTE">
      <formula>NOT(ISERROR(SEARCH("PENDIENTE",BB72)))</formula>
    </cfRule>
    <cfRule type="containsText" dxfId="619" priority="6725" operator="containsText" text="ENTREGADO">
      <formula>NOT(ISERROR(SEARCH("ENTREGADO",BB72)))</formula>
    </cfRule>
    <cfRule type="containsText" dxfId="618" priority="6734" operator="containsText" text="PENDIENTE">
      <formula>NOT(ISERROR(SEARCH("PENDIENTE",#REF!)))</formula>
    </cfRule>
    <cfRule type="containsText" dxfId="617" priority="6739" operator="containsText" text="ENTREGADO">
      <formula>NOT(ISERROR(SEARCH("ENTREGADO",BB72)))</formula>
    </cfRule>
    <cfRule type="containsText" dxfId="616" priority="6736" operator="containsText" text="PENDIENTE">
      <formula>NOT(ISERROR(SEARCH("PENDIENTE",#REF!)))</formula>
    </cfRule>
    <cfRule type="containsText" dxfId="615" priority="6738" operator="containsText" text="PRIORIDAD">
      <formula>NOT(ISERROR(SEARCH("PRIORIDAD",BB72)))</formula>
    </cfRule>
    <cfRule type="containsText" dxfId="614" priority="6740" operator="containsText" text="PENDIENTE">
      <formula>NOT(ISERROR(SEARCH("PENDIENTE",BB72)))</formula>
    </cfRule>
    <cfRule type="containsText" dxfId="613" priority="6737" operator="containsText" text="ENTREGADO">
      <formula>NOT(ISERROR(SEARCH("ENTREGADO",#REF!)))</formula>
    </cfRule>
    <cfRule type="containsText" dxfId="612" priority="6721" operator="containsText" text="ENTREGADO">
      <formula>NOT(ISERROR(SEARCH("ENTREGADO",#REF!)))</formula>
    </cfRule>
    <cfRule type="containsText" dxfId="611" priority="6724" operator="containsText" text="ENTREGADO">
      <formula>NOT(ISERROR(SEARCH("ENTREGADO",BB72)))</formula>
    </cfRule>
  </conditionalFormatting>
  <conditionalFormatting sqref="BB72:BB73">
    <cfRule type="containsText" dxfId="610" priority="6598" operator="containsText" text="ENTREGADO">
      <formula>NOT(ISERROR(SEARCH("ENTREGADO",BB72)))</formula>
    </cfRule>
    <cfRule type="containsText" dxfId="609" priority="6612" operator="containsText" text="ENTREGADO">
      <formula>NOT(ISERROR(SEARCH("ENTREGADO",BB72)))</formula>
    </cfRule>
  </conditionalFormatting>
  <conditionalFormatting sqref="BB73">
    <cfRule type="containsText" dxfId="608" priority="6597" operator="containsText" text="ENTREGADO">
      <formula>NOT(ISERROR(SEARCH("ENTREGADO",BB73)))</formula>
    </cfRule>
    <cfRule type="containsText" dxfId="607" priority="6613" operator="containsText" text="PENDIENTE">
      <formula>NOT(ISERROR(SEARCH("PENDIENTE",BB73)))</formula>
    </cfRule>
    <cfRule type="containsText" dxfId="606" priority="6611" operator="containsText" text="PRIORIDAD">
      <formula>NOT(ISERROR(SEARCH("PRIORIDAD",BB73)))</formula>
    </cfRule>
    <cfRule type="containsText" dxfId="605" priority="6610" operator="containsText" text="ENTREGADO">
      <formula>NOT(ISERROR(SEARCH("ENTREGADO",#REF!)))</formula>
    </cfRule>
    <cfRule type="containsText" dxfId="604" priority="6609" operator="containsText" text="PENDIENTE">
      <formula>NOT(ISERROR(SEARCH("PENDIENTE",#REF!)))</formula>
    </cfRule>
    <cfRule type="containsText" dxfId="603" priority="6594" operator="containsText" text="ENTREGADO">
      <formula>NOT(ISERROR(SEARCH("ENTREGADO",#REF!)))</formula>
    </cfRule>
    <cfRule type="containsText" dxfId="602" priority="6608" operator="containsText" text="PENDIENTE">
      <formula>NOT(ISERROR(SEARCH("PENDIENTE",BB73)))</formula>
    </cfRule>
    <cfRule type="containsText" dxfId="601" priority="6607" operator="containsText" text="PENDIENTE">
      <formula>NOT(ISERROR(SEARCH("PENDIENTE",#REF!)))</formula>
    </cfRule>
  </conditionalFormatting>
  <conditionalFormatting sqref="BB73:BB74">
    <cfRule type="containsText" dxfId="600" priority="6470" operator="containsText" text="ENTREGADO">
      <formula>NOT(ISERROR(SEARCH("ENTREGADO",BB73)))</formula>
    </cfRule>
    <cfRule type="containsText" dxfId="599" priority="6484" operator="containsText" text="ENTREGADO">
      <formula>NOT(ISERROR(SEARCH("ENTREGADO",BB73)))</formula>
    </cfRule>
  </conditionalFormatting>
  <conditionalFormatting sqref="BB74">
    <cfRule type="containsText" dxfId="598" priority="6479" operator="containsText" text="PENDIENTE">
      <formula>NOT(ISERROR(SEARCH("PENDIENTE",#REF!)))</formula>
    </cfRule>
    <cfRule type="containsText" dxfId="597" priority="6480" operator="containsText" text="PENDIENTE">
      <formula>NOT(ISERROR(SEARCH("PENDIENTE",BB74)))</formula>
    </cfRule>
    <cfRule type="containsText" dxfId="596" priority="6461" operator="containsText" text="ENTREGADO">
      <formula>NOT(ISERROR(SEARCH("ENTREGADO",BB74)))</formula>
    </cfRule>
    <cfRule type="containsText" dxfId="595" priority="6466" operator="containsText" text="ENTREGADO">
      <formula>NOT(ISERROR(SEARCH("ENTREGADO",#REF!)))</formula>
    </cfRule>
    <cfRule type="containsText" dxfId="594" priority="6469" operator="containsText" text="ENTREGADO">
      <formula>NOT(ISERROR(SEARCH("ENTREGADO",BB74)))</formula>
    </cfRule>
    <cfRule type="containsText" dxfId="593" priority="6485" operator="containsText" text="PENDIENTE">
      <formula>NOT(ISERROR(SEARCH("PENDIENTE",BB74)))</formula>
    </cfRule>
    <cfRule type="containsText" dxfId="592" priority="6481" operator="containsText" text="PENDIENTE">
      <formula>NOT(ISERROR(SEARCH("PENDIENTE",#REF!)))</formula>
    </cfRule>
    <cfRule type="containsText" dxfId="591" priority="6483" operator="containsText" text="PRIORIDAD">
      <formula>NOT(ISERROR(SEARCH("PRIORIDAD",BB74)))</formula>
    </cfRule>
    <cfRule type="containsText" dxfId="590" priority="6482" operator="containsText" text="ENTREGADO">
      <formula>NOT(ISERROR(SEARCH("ENTREGADO",#REF!)))</formula>
    </cfRule>
    <cfRule type="containsText" dxfId="589" priority="6460" operator="containsText" text="ENTREGADO">
      <formula>NOT(ISERROR(SEARCH("ENTREGADO",BB74)))</formula>
    </cfRule>
  </conditionalFormatting>
  <conditionalFormatting sqref="BB75">
    <cfRule type="containsText" dxfId="588" priority="4844" operator="containsText" text="ENTREGADO">
      <formula>NOT(ISERROR(SEARCH("ENTREGADO",BB75)))</formula>
    </cfRule>
    <cfRule type="containsText" dxfId="587" priority="4845" operator="containsText" text="ENTREGADO">
      <formula>NOT(ISERROR(SEARCH("ENTREGADO",BB75)))</formula>
    </cfRule>
    <cfRule type="containsText" dxfId="586" priority="4846" operator="containsText" text="PENDIENTE">
      <formula>NOT(ISERROR(SEARCH("PENDIENTE",#REF!)))</formula>
    </cfRule>
    <cfRule type="containsText" dxfId="585" priority="4847" operator="containsText" text="PENDIENTE">
      <formula>NOT(ISERROR(SEARCH("PENDIENTE",BB75)))</formula>
    </cfRule>
    <cfRule type="containsText" dxfId="584" priority="4848" operator="containsText" text="ENTREGADO">
      <formula>NOT(ISERROR(SEARCH("ENTREGADO",#REF!)))</formula>
    </cfRule>
    <cfRule type="containsText" dxfId="583" priority="4849" operator="containsText" text="PRIORIDAD">
      <formula>NOT(ISERROR(SEARCH("PRIORIDAD",BB75)))</formula>
    </cfRule>
    <cfRule type="containsText" dxfId="582" priority="4851" operator="containsText" text="ENTREGADO">
      <formula>NOT(ISERROR(SEARCH("ENTREGADO",BB75)))</formula>
    </cfRule>
    <cfRule type="containsText" dxfId="581" priority="4852" operator="containsText" text="PENDIENTE">
      <formula>NOT(ISERROR(SEARCH("PENDIENTE",BB75)))</formula>
    </cfRule>
    <cfRule type="containsText" dxfId="580" priority="4850" operator="containsText" text="ENTREGADO">
      <formula>NOT(ISERROR(SEARCH("ENTREGADO",BB75)))</formula>
    </cfRule>
    <cfRule type="containsText" dxfId="579" priority="4842" operator="containsText" text="ENTREGADO">
      <formula>NOT(ISERROR(SEARCH("ENTREGADO",BB75)))</formula>
    </cfRule>
    <cfRule type="containsText" dxfId="578" priority="4843" operator="containsText" text="ENTREGADO">
      <formula>NOT(ISERROR(SEARCH("ENTREGADO",#REF!)))</formula>
    </cfRule>
  </conditionalFormatting>
  <conditionalFormatting sqref="BB76 BB80:BB81 BB83:BB84">
    <cfRule type="containsText" dxfId="577" priority="2952" operator="containsText" text="ENTREGADO">
      <formula>NOT(ISERROR(SEARCH("ENTREGADO",#REF!)))</formula>
    </cfRule>
    <cfRule type="containsText" dxfId="576" priority="2956" operator="containsText" text="PENDIENTE">
      <formula>NOT(ISERROR(SEARCH("PENDIENTE",BB76)))</formula>
    </cfRule>
    <cfRule type="containsText" dxfId="575" priority="2954" operator="containsText" text="ENTREGADO">
      <formula>NOT(ISERROR(SEARCH("ENTREGADO",BB76)))</formula>
    </cfRule>
    <cfRule type="containsText" dxfId="574" priority="2953" operator="containsText" text="ENTREGADO">
      <formula>NOT(ISERROR(SEARCH("ENTREGADO",BB76)))</formula>
    </cfRule>
    <cfRule type="containsText" dxfId="573" priority="2957" operator="containsText" text="ENTREGADO">
      <formula>NOT(ISERROR(SEARCH("ENTREGADO",#REF!)))</formula>
    </cfRule>
    <cfRule type="containsText" dxfId="572" priority="2961" operator="containsText" text="PENDIENTE">
      <formula>NOT(ISERROR(SEARCH("PENDIENTE",BB76)))</formula>
    </cfRule>
    <cfRule type="containsText" dxfId="571" priority="2955" operator="containsText" text="PENDIENTE">
      <formula>NOT(ISERROR(SEARCH("PENDIENTE",#REF!)))</formula>
    </cfRule>
    <cfRule type="containsText" dxfId="570" priority="2951" operator="containsText" text="ENTREGADO">
      <formula>NOT(ISERROR(SEARCH("ENTREGADO",BB76)))</formula>
    </cfRule>
    <cfRule type="containsText" dxfId="569" priority="2958" operator="containsText" text="PRIORIDAD">
      <formula>NOT(ISERROR(SEARCH("PRIORIDAD",BB76)))</formula>
    </cfRule>
    <cfRule type="containsText" dxfId="568" priority="2959" operator="containsText" text="ENTREGADO">
      <formula>NOT(ISERROR(SEARCH("ENTREGADO",BB76)))</formula>
    </cfRule>
    <cfRule type="containsText" dxfId="567" priority="2960" operator="containsText" text="ENTREGADO">
      <formula>NOT(ISERROR(SEARCH("ENTREGADO",BB76)))</formula>
    </cfRule>
  </conditionalFormatting>
  <conditionalFormatting sqref="BB77 BD77:BG77">
    <cfRule type="containsText" dxfId="566" priority="2085" operator="containsText" text="ENTREGADO">
      <formula>NOT(ISERROR(SEARCH("ENTREGADO",BB77)))</formula>
    </cfRule>
  </conditionalFormatting>
  <conditionalFormatting sqref="BB77">
    <cfRule type="containsText" dxfId="565" priority="2165" operator="containsText" text="PENDIENTE">
      <formula>NOT(ISERROR(SEARCH("PENDIENTE",BB77)))</formula>
    </cfRule>
    <cfRule type="containsText" dxfId="564" priority="2087" operator="containsText" text="ENTREGADO">
      <formula>NOT(ISERROR(SEARCH("ENTREGADO",BB77)))</formula>
    </cfRule>
    <cfRule type="containsText" dxfId="563" priority="2088" operator="containsText" text="ENTREGADO">
      <formula>NOT(ISERROR(SEARCH("ENTREGADO",BB77)))</formula>
    </cfRule>
    <cfRule type="containsText" dxfId="562" priority="2114" operator="containsText" text="ENTREGADO">
      <formula>NOT(ISERROR(SEARCH("ENTREGADO",#REF!)))</formula>
    </cfRule>
    <cfRule type="containsText" dxfId="561" priority="2081" operator="containsText" text="ENTREGADO">
      <formula>NOT(ISERROR(SEARCH("ENTREGADO",BB77)))</formula>
    </cfRule>
    <cfRule type="containsText" dxfId="560" priority="2158" operator="containsText" text="PENDIENTE">
      <formula>NOT(ISERROR(SEARCH("PENDIENTE",BB77)))</formula>
    </cfRule>
    <cfRule type="containsText" dxfId="559" priority="2116" operator="containsText" text="ENTREGADO">
      <formula>NOT(ISERROR(SEARCH("ENTREGADO",BB77)))</formula>
    </cfRule>
    <cfRule type="containsText" dxfId="558" priority="2074" operator="containsText" text="ENTREGADO">
      <formula>NOT(ISERROR(SEARCH("ENTREGADO",#REF!)))</formula>
    </cfRule>
    <cfRule type="containsText" dxfId="557" priority="2075" operator="containsText" text="ENTREGADO">
      <formula>NOT(ISERROR(SEARCH("ENTREGADO",BB77)))</formula>
    </cfRule>
    <cfRule type="containsText" dxfId="556" priority="2076" operator="containsText" text="ENTREGADO">
      <formula>NOT(ISERROR(SEARCH("ENTREGADO",BB77)))</formula>
    </cfRule>
    <cfRule type="containsText" dxfId="555" priority="2077" operator="containsText" text="PENDIENTE">
      <formula>NOT(ISERROR(SEARCH("PENDIENTE",#REF!)))</formula>
    </cfRule>
    <cfRule type="containsText" dxfId="554" priority="2153" operator="containsText" text="ENTREGADO">
      <formula>NOT(ISERROR(SEARCH("ENTREGADO",#REF!)))</formula>
    </cfRule>
    <cfRule type="containsText" dxfId="553" priority="2155" operator="containsText" text="PRIORIDAD">
      <formula>NOT(ISERROR(SEARCH("PRIORIDAD",BB77)))</formula>
    </cfRule>
    <cfRule type="containsText" dxfId="552" priority="2078" operator="containsText" text="PENDIENTE">
      <formula>NOT(ISERROR(SEARCH("PENDIENTE",#REF!)))</formula>
    </cfRule>
    <cfRule type="containsText" dxfId="551" priority="2079" operator="containsText" text="ENTREGADO">
      <formula>NOT(ISERROR(SEARCH("ENTREGADO",#REF!)))</formula>
    </cfRule>
    <cfRule type="containsText" dxfId="550" priority="2080" operator="containsText" text="PRIORIDAD">
      <formula>NOT(ISERROR(SEARCH("PRIORIDAD",BB77)))</formula>
    </cfRule>
    <cfRule type="containsText" dxfId="549" priority="2082" operator="containsText" text="ENTREGADO">
      <formula>NOT(ISERROR(SEARCH("ENTREGADO",BB77)))</formula>
    </cfRule>
    <cfRule type="containsText" dxfId="548" priority="2083" operator="containsText" text="PENDIENTE">
      <formula>NOT(ISERROR(SEARCH("PENDIENTE",BB77)))</formula>
    </cfRule>
    <cfRule type="containsText" dxfId="547" priority="2084" operator="containsText" text="ENTREGADO">
      <formula>NOT(ISERROR(SEARCH("ENTREGADO",BB77)))</formula>
    </cfRule>
    <cfRule type="containsText" dxfId="546" priority="2156" operator="containsText" text="ENTREGADO">
      <formula>NOT(ISERROR(SEARCH("ENTREGADO",BB77)))</formula>
    </cfRule>
    <cfRule type="containsText" dxfId="545" priority="2157" operator="containsText" text="ENTREGADO">
      <formula>NOT(ISERROR(SEARCH("ENTREGADO",BB77)))</formula>
    </cfRule>
  </conditionalFormatting>
  <conditionalFormatting sqref="BB78">
    <cfRule type="containsText" dxfId="544" priority="1655" operator="containsText" text="ENTREGADO">
      <formula>NOT(ISERROR(SEARCH("ENTREGADO",BB78)))</formula>
    </cfRule>
    <cfRule type="containsText" dxfId="543" priority="1658" operator="containsText" text="ENTREGADO">
      <formula>NOT(ISERROR(SEARCH("ENTREGADO",#REF!)))</formula>
    </cfRule>
    <cfRule type="containsText" dxfId="542" priority="1654" operator="containsText" text="ENTREGADO">
      <formula>NOT(ISERROR(SEARCH("ENTREGADO",BB78)))</formula>
    </cfRule>
    <cfRule type="containsText" dxfId="541" priority="1662" operator="containsText" text="PENDIENTE">
      <formula>NOT(ISERROR(SEARCH("PENDIENTE",BB78)))</formula>
    </cfRule>
    <cfRule type="containsText" dxfId="540" priority="1661" operator="containsText" text="ENTREGADO">
      <formula>NOT(ISERROR(SEARCH("ENTREGADO",BB78)))</formula>
    </cfRule>
    <cfRule type="containsText" dxfId="539" priority="1653" operator="containsText" text="ENTREGADO">
      <formula>NOT(ISERROR(SEARCH("ENTREGADO",#REF!)))</formula>
    </cfRule>
    <cfRule type="containsText" dxfId="538" priority="1652" operator="containsText" text="ENTREGADO">
      <formula>NOT(ISERROR(SEARCH("ENTREGADO",BB78)))</formula>
    </cfRule>
    <cfRule type="containsText" dxfId="537" priority="1660" operator="containsText" text="ENTREGADO">
      <formula>NOT(ISERROR(SEARCH("ENTREGADO",BB78)))</formula>
    </cfRule>
    <cfRule type="containsText" dxfId="536" priority="1657" operator="containsText" text="PENDIENTE">
      <formula>NOT(ISERROR(SEARCH("PENDIENTE",BB78)))</formula>
    </cfRule>
    <cfRule type="containsText" dxfId="535" priority="1656" operator="containsText" text="PENDIENTE">
      <formula>NOT(ISERROR(SEARCH("PENDIENTE",#REF!)))</formula>
    </cfRule>
  </conditionalFormatting>
  <conditionalFormatting sqref="BB79">
    <cfRule type="containsText" dxfId="534" priority="1538" operator="containsText" text="ENTREGADO">
      <formula>NOT(ISERROR(SEARCH("ENTREGADO",BB79)))</formula>
    </cfRule>
    <cfRule type="containsText" dxfId="533" priority="1550" operator="containsText" text="ENTREGADO">
      <formula>NOT(ISERROR(SEARCH("ENTREGADO",#REF!)))</formula>
    </cfRule>
    <cfRule type="containsText" dxfId="532" priority="1540" operator="containsText" text="ENTREGADO">
      <formula>NOT(ISERROR(SEARCH("ENTREGADO",BB79)))</formula>
    </cfRule>
  </conditionalFormatting>
  <conditionalFormatting sqref="BB82">
    <cfRule type="containsText" dxfId="531" priority="1387" operator="containsText" text="ENTREGADO">
      <formula>NOT(ISERROR(SEARCH("ENTREGADO",BB82)))</formula>
    </cfRule>
    <cfRule type="containsText" dxfId="530" priority="1394" operator="containsText" text="PRIORIDAD">
      <formula>NOT(ISERROR(SEARCH("PRIORIDAD",BB82)))</formula>
    </cfRule>
    <cfRule type="containsText" dxfId="529" priority="1393" operator="containsText" text="ENTREGADO">
      <formula>NOT(ISERROR(SEARCH("ENTREGADO",#REF!)))</formula>
    </cfRule>
    <cfRule type="containsText" dxfId="528" priority="1391" operator="containsText" text="PENDIENTE">
      <formula>NOT(ISERROR(SEARCH("PENDIENTE",#REF!)))</formula>
    </cfRule>
    <cfRule type="containsText" dxfId="527" priority="1392" operator="containsText" text="PENDIENTE">
      <formula>NOT(ISERROR(SEARCH("PENDIENTE",BB82)))</formula>
    </cfRule>
    <cfRule type="containsText" dxfId="526" priority="1389" operator="containsText" text="ENTREGADO">
      <formula>NOT(ISERROR(SEARCH("ENTREGADO",BB82)))</formula>
    </cfRule>
    <cfRule type="containsText" dxfId="525" priority="1396" operator="containsText" text="ENTREGADO">
      <formula>NOT(ISERROR(SEARCH("ENTREGADO",BB82)))</formula>
    </cfRule>
    <cfRule type="containsText" dxfId="524" priority="1397" operator="containsText" text="PENDIENTE">
      <formula>NOT(ISERROR(SEARCH("PENDIENTE",BB82)))</formula>
    </cfRule>
    <cfRule type="containsText" dxfId="523" priority="1390" operator="containsText" text="ENTREGADO">
      <formula>NOT(ISERROR(SEARCH("ENTREGADO",BB82)))</formula>
    </cfRule>
    <cfRule type="containsText" dxfId="522" priority="1388" operator="containsText" text="ENTREGADO">
      <formula>NOT(ISERROR(SEARCH("ENTREGADO",#REF!)))</formula>
    </cfRule>
    <cfRule type="containsText" dxfId="521" priority="1395" operator="containsText" text="ENTREGADO">
      <formula>NOT(ISERROR(SEARCH("ENTREGADO",BB82)))</formula>
    </cfRule>
  </conditionalFormatting>
  <conditionalFormatting sqref="BB85">
    <cfRule type="containsText" dxfId="520" priority="2693" operator="containsText" text="ENTREGADO">
      <formula>NOT(ISERROR(SEARCH("ENTREGADO",BB85)))</formula>
    </cfRule>
    <cfRule type="containsText" dxfId="519" priority="2697" operator="containsText" text="PENDIENTE">
      <formula>NOT(ISERROR(SEARCH("PENDIENTE",#REF!)))</formula>
    </cfRule>
    <cfRule type="containsText" dxfId="518" priority="2698" operator="containsText" text="PENDIENTE">
      <formula>NOT(ISERROR(SEARCH("PENDIENTE",BB85)))</formula>
    </cfRule>
    <cfRule type="containsText" dxfId="517" priority="2699" operator="containsText" text="ENTREGADO">
      <formula>NOT(ISERROR(SEARCH("ENTREGADO",#REF!)))</formula>
    </cfRule>
    <cfRule type="containsText" dxfId="516" priority="2700" operator="containsText" text="PRIORIDAD">
      <formula>NOT(ISERROR(SEARCH("PRIORIDAD",BB85)))</formula>
    </cfRule>
    <cfRule type="containsText" dxfId="515" priority="2701" operator="containsText" text="ENTREGADO">
      <formula>NOT(ISERROR(SEARCH("ENTREGADO",BB85)))</formula>
    </cfRule>
    <cfRule type="containsText" dxfId="514" priority="2702" operator="containsText" text="ENTREGADO">
      <formula>NOT(ISERROR(SEARCH("ENTREGADO",BB85)))</formula>
    </cfRule>
    <cfRule type="containsText" dxfId="513" priority="2703" operator="containsText" text="PENDIENTE">
      <formula>NOT(ISERROR(SEARCH("PENDIENTE",BB85)))</formula>
    </cfRule>
    <cfRule type="containsText" dxfId="512" priority="2694" operator="containsText" text="ENTREGADO">
      <formula>NOT(ISERROR(SEARCH("ENTREGADO",#REF!)))</formula>
    </cfRule>
    <cfRule type="containsText" dxfId="511" priority="2695" operator="containsText" text="ENTREGADO">
      <formula>NOT(ISERROR(SEARCH("ENTREGADO",BB85)))</formula>
    </cfRule>
    <cfRule type="containsText" dxfId="510" priority="2696" operator="containsText" text="ENTREGADO">
      <formula>NOT(ISERROR(SEARCH("ENTREGADO",BB85)))</formula>
    </cfRule>
  </conditionalFormatting>
  <conditionalFormatting sqref="BB86">
    <cfRule type="containsText" dxfId="509" priority="2544" operator="containsText" text="ENTREGADO">
      <formula>NOT(ISERROR(SEARCH("ENTREGADO",#REF!)))</formula>
    </cfRule>
    <cfRule type="containsText" dxfId="508" priority="2548" operator="containsText" text="PENDIENTE">
      <formula>NOT(ISERROR(SEARCH("PENDIENTE",BB86)))</formula>
    </cfRule>
    <cfRule type="containsText" dxfId="507" priority="2539" operator="containsText" text="ENTREGADO">
      <formula>NOT(ISERROR(SEARCH("ENTREGADO",#REF!)))</formula>
    </cfRule>
    <cfRule type="containsText" dxfId="506" priority="2543" operator="containsText" text="PENDIENTE">
      <formula>NOT(ISERROR(SEARCH("PENDIENTE",BB86)))</formula>
    </cfRule>
    <cfRule type="containsText" dxfId="505" priority="2541" operator="containsText" text="ENTREGADO">
      <formula>NOT(ISERROR(SEARCH("ENTREGADO",BB86)))</formula>
    </cfRule>
    <cfRule type="containsText" dxfId="504" priority="2545" operator="containsText" text="PRIORIDAD">
      <formula>NOT(ISERROR(SEARCH("PRIORIDAD",BB86)))</formula>
    </cfRule>
    <cfRule type="containsText" dxfId="503" priority="2542" operator="containsText" text="PENDIENTE">
      <formula>NOT(ISERROR(SEARCH("PENDIENTE",#REF!)))</formula>
    </cfRule>
    <cfRule type="containsText" dxfId="502" priority="2540" operator="containsText" text="ENTREGADO">
      <formula>NOT(ISERROR(SEARCH("ENTREGADO",BB86)))</formula>
    </cfRule>
    <cfRule type="containsText" dxfId="501" priority="2547" operator="containsText" text="ENTREGADO">
      <formula>NOT(ISERROR(SEARCH("ENTREGADO",BB86)))</formula>
    </cfRule>
    <cfRule type="containsText" dxfId="500" priority="2546" operator="containsText" text="ENTREGADO">
      <formula>NOT(ISERROR(SEARCH("ENTREGADO",BB86)))</formula>
    </cfRule>
    <cfRule type="containsText" dxfId="499" priority="2538" operator="containsText" text="ENTREGADO">
      <formula>NOT(ISERROR(SEARCH("ENTREGADO",BB86)))</formula>
    </cfRule>
  </conditionalFormatting>
  <conditionalFormatting sqref="BB87">
    <cfRule type="containsText" dxfId="498" priority="2410" operator="containsText" text="ENTREGADO">
      <formula>NOT(ISERROR(SEARCH("ENTREGADO",#REF!)))</formula>
    </cfRule>
    <cfRule type="containsText" dxfId="497" priority="2411" operator="containsText" text="ENTREGADO">
      <formula>NOT(ISERROR(SEARCH("ENTREGADO",BB87)))</formula>
    </cfRule>
    <cfRule type="containsText" dxfId="496" priority="2412" operator="containsText" text="ENTREGADO">
      <formula>NOT(ISERROR(SEARCH("ENTREGADO",BB87)))</formula>
    </cfRule>
    <cfRule type="containsText" dxfId="495" priority="2415" operator="containsText" text="ENTREGADO">
      <formula>NOT(ISERROR(SEARCH("ENTREGADO",#REF!)))</formula>
    </cfRule>
    <cfRule type="containsText" dxfId="494" priority="2416" operator="containsText" text="PRIORIDAD">
      <formula>NOT(ISERROR(SEARCH("PRIORIDAD",BB87)))</formula>
    </cfRule>
    <cfRule type="containsText" dxfId="493" priority="2417" operator="containsText" text="ENTREGADO">
      <formula>NOT(ISERROR(SEARCH("ENTREGADO",BB87)))</formula>
    </cfRule>
    <cfRule type="containsText" dxfId="492" priority="2418" operator="containsText" text="ENTREGADO">
      <formula>NOT(ISERROR(SEARCH("ENTREGADO",BB87)))</formula>
    </cfRule>
    <cfRule type="containsText" dxfId="491" priority="2419" operator="containsText" text="PENDIENTE">
      <formula>NOT(ISERROR(SEARCH("PENDIENTE",BB87)))</formula>
    </cfRule>
    <cfRule type="containsText" dxfId="490" priority="2413" operator="containsText" text="PENDIENTE">
      <formula>NOT(ISERROR(SEARCH("PENDIENTE",#REF!)))</formula>
    </cfRule>
    <cfRule type="containsText" dxfId="489" priority="2414" operator="containsText" text="PENDIENTE">
      <formula>NOT(ISERROR(SEARCH("PENDIENTE",BB87)))</formula>
    </cfRule>
    <cfRule type="containsText" dxfId="488" priority="2409" operator="containsText" text="ENTREGADO">
      <formula>NOT(ISERROR(SEARCH("ENTREGADO",BB87)))</formula>
    </cfRule>
  </conditionalFormatting>
  <conditionalFormatting sqref="BB88">
    <cfRule type="containsText" dxfId="487" priority="2283" operator="containsText" text="ENTREGADO">
      <formula>NOT(ISERROR(SEARCH("ENTREGADO",BB88)))</formula>
    </cfRule>
    <cfRule type="containsText" dxfId="486" priority="2290" operator="containsText" text="PENDIENTE">
      <formula>NOT(ISERROR(SEARCH("PENDIENTE",BB88)))</formula>
    </cfRule>
    <cfRule type="containsText" dxfId="485" priority="2288" operator="containsText" text="ENTREGADO">
      <formula>NOT(ISERROR(SEARCH("ENTREGADO",BB88)))</formula>
    </cfRule>
    <cfRule type="containsText" dxfId="484" priority="2280" operator="containsText" text="ENTREGADO">
      <formula>NOT(ISERROR(SEARCH("ENTREGADO",BB88)))</formula>
    </cfRule>
    <cfRule type="containsText" dxfId="483" priority="2282" operator="containsText" text="ENTREGADO">
      <formula>NOT(ISERROR(SEARCH("ENTREGADO",BB88)))</formula>
    </cfRule>
    <cfRule type="containsText" dxfId="482" priority="2281" operator="containsText" text="ENTREGADO">
      <formula>NOT(ISERROR(SEARCH("ENTREGADO",#REF!)))</formula>
    </cfRule>
    <cfRule type="containsText" dxfId="481" priority="2287" operator="containsText" text="PRIORIDAD">
      <formula>NOT(ISERROR(SEARCH("PRIORIDAD",BB88)))</formula>
    </cfRule>
    <cfRule type="containsText" dxfId="480" priority="2286" operator="containsText" text="ENTREGADO">
      <formula>NOT(ISERROR(SEARCH("ENTREGADO",#REF!)))</formula>
    </cfRule>
    <cfRule type="containsText" dxfId="479" priority="2285" operator="containsText" text="PENDIENTE">
      <formula>NOT(ISERROR(SEARCH("PENDIENTE",BB88)))</formula>
    </cfRule>
    <cfRule type="containsText" dxfId="478" priority="2289" operator="containsText" text="ENTREGADO">
      <formula>NOT(ISERROR(SEARCH("ENTREGADO",BB88)))</formula>
    </cfRule>
    <cfRule type="containsText" dxfId="477" priority="2284" operator="containsText" text="PENDIENTE">
      <formula>NOT(ISERROR(SEARCH("PENDIENTE",#REF!)))</formula>
    </cfRule>
  </conditionalFormatting>
  <conditionalFormatting sqref="BB89">
    <cfRule type="containsText" dxfId="476" priority="1901" operator="containsText" text="ENTREGADO">
      <formula>NOT(ISERROR(SEARCH("ENTREGADO",BB89)))</formula>
    </cfRule>
    <cfRule type="containsText" dxfId="475" priority="1899" operator="containsText" text="ENTREGADO">
      <formula>NOT(ISERROR(SEARCH("ENTREGADO",BB89)))</formula>
    </cfRule>
    <cfRule type="containsText" dxfId="474" priority="1906" operator="containsText" text="PRIORIDAD">
      <formula>NOT(ISERROR(SEARCH("PRIORIDAD",BB89)))</formula>
    </cfRule>
    <cfRule type="containsText" dxfId="473" priority="1907" operator="containsText" text="ENTREGADO">
      <formula>NOT(ISERROR(SEARCH("ENTREGADO",BB89)))</formula>
    </cfRule>
    <cfRule type="containsText" dxfId="472" priority="1904" operator="containsText" text="PENDIENTE">
      <formula>NOT(ISERROR(SEARCH("PENDIENTE",BB89)))</formula>
    </cfRule>
    <cfRule type="containsText" dxfId="471" priority="1905" operator="containsText" text="ENTREGADO">
      <formula>NOT(ISERROR(SEARCH("ENTREGADO",#REF!)))</formula>
    </cfRule>
    <cfRule type="containsText" dxfId="470" priority="1900" operator="containsText" text="ENTREGADO">
      <formula>NOT(ISERROR(SEARCH("ENTREGADO",#REF!)))</formula>
    </cfRule>
    <cfRule type="containsText" dxfId="469" priority="1902" operator="containsText" text="ENTREGADO">
      <formula>NOT(ISERROR(SEARCH("ENTREGADO",BB89)))</formula>
    </cfRule>
    <cfRule type="containsText" dxfId="468" priority="1909" operator="containsText" text="PENDIENTE">
      <formula>NOT(ISERROR(SEARCH("PENDIENTE",BB89)))</formula>
    </cfRule>
    <cfRule type="containsText" dxfId="467" priority="1903" operator="containsText" text="PENDIENTE">
      <formula>NOT(ISERROR(SEARCH("PENDIENTE",#REF!)))</formula>
    </cfRule>
    <cfRule type="containsText" dxfId="466" priority="1908" operator="containsText" text="ENTREGADO">
      <formula>NOT(ISERROR(SEARCH("ENTREGADO",BB89)))</formula>
    </cfRule>
  </conditionalFormatting>
  <conditionalFormatting sqref="BB90">
    <cfRule type="containsText" dxfId="465" priority="1227" operator="containsText" text="ENTREGADO">
      <formula>NOT(ISERROR(SEARCH("ENTREGADO",BB90)))</formula>
    </cfRule>
    <cfRule type="containsText" dxfId="464" priority="1226" operator="containsText" text="ENTREGADO">
      <formula>NOT(ISERROR(SEARCH("ENTREGADO",BB90)))</formula>
    </cfRule>
    <cfRule type="containsText" dxfId="463" priority="1228" operator="containsText" text="PENDIENTE">
      <formula>NOT(ISERROR(SEARCH("PENDIENTE",#REF!)))</formula>
    </cfRule>
    <cfRule type="containsText" dxfId="462" priority="1224" operator="containsText" text="ENTREGADO">
      <formula>NOT(ISERROR(SEARCH("ENTREGADO",BB90)))</formula>
    </cfRule>
    <cfRule type="containsText" dxfId="461" priority="1233" operator="containsText" text="ENTREGADO">
      <formula>NOT(ISERROR(SEARCH("ENTREGADO",BB90)))</formula>
    </cfRule>
    <cfRule type="containsText" dxfId="460" priority="1232" operator="containsText" text="ENTREGADO">
      <formula>NOT(ISERROR(SEARCH("ENTREGADO",BB90)))</formula>
    </cfRule>
    <cfRule type="containsText" dxfId="459" priority="1231" operator="containsText" text="PRIORIDAD">
      <formula>NOT(ISERROR(SEARCH("PRIORIDAD",BB90)))</formula>
    </cfRule>
    <cfRule type="containsText" dxfId="458" priority="1229" operator="containsText" text="PENDIENTE">
      <formula>NOT(ISERROR(SEARCH("PENDIENTE",BB90)))</formula>
    </cfRule>
    <cfRule type="containsText" dxfId="457" priority="1230" operator="containsText" text="ENTREGADO">
      <formula>NOT(ISERROR(SEARCH("ENTREGADO",#REF!)))</formula>
    </cfRule>
    <cfRule type="containsText" dxfId="456" priority="1225" operator="containsText" text="ENTREGADO">
      <formula>NOT(ISERROR(SEARCH("ENTREGADO",#REF!)))</formula>
    </cfRule>
    <cfRule type="containsText" dxfId="455" priority="1234" operator="containsText" text="PENDIENTE">
      <formula>NOT(ISERROR(SEARCH("PENDIENTE",BB90)))</formula>
    </cfRule>
  </conditionalFormatting>
  <conditionalFormatting sqref="BB91">
    <cfRule type="containsText" dxfId="454" priority="1049" operator="containsText" text="PENDIENTE">
      <formula>NOT(ISERROR(SEARCH("PENDIENTE",BB91)))</formula>
    </cfRule>
    <cfRule type="containsText" dxfId="453" priority="1050" operator="containsText" text="ENTREGADO">
      <formula>NOT(ISERROR(SEARCH("ENTREGADO",#REF!)))</formula>
    </cfRule>
    <cfRule type="containsText" dxfId="452" priority="1051" operator="containsText" text="PRIORIDAD">
      <formula>NOT(ISERROR(SEARCH("PRIORIDAD",BB91)))</formula>
    </cfRule>
    <cfRule type="containsText" dxfId="451" priority="1052" operator="containsText" text="ENTREGADO">
      <formula>NOT(ISERROR(SEARCH("ENTREGADO",BB91)))</formula>
    </cfRule>
    <cfRule type="containsText" dxfId="450" priority="1044" operator="containsText" text="ENTREGADO">
      <formula>NOT(ISERROR(SEARCH("ENTREGADO",BB91)))</formula>
    </cfRule>
    <cfRule type="containsText" dxfId="449" priority="1048" operator="containsText" text="PENDIENTE">
      <formula>NOT(ISERROR(SEARCH("PENDIENTE",#REF!)))</formula>
    </cfRule>
    <cfRule type="containsText" dxfId="448" priority="1045" operator="containsText" text="ENTREGADO">
      <formula>NOT(ISERROR(SEARCH("ENTREGADO",#REF!)))</formula>
    </cfRule>
    <cfRule type="containsText" dxfId="447" priority="1047" operator="containsText" text="ENTREGADO">
      <formula>NOT(ISERROR(SEARCH("ENTREGADO",BB91)))</formula>
    </cfRule>
    <cfRule type="containsText" dxfId="446" priority="1046" operator="containsText" text="ENTREGADO">
      <formula>NOT(ISERROR(SEARCH("ENTREGADO",BB91)))</formula>
    </cfRule>
    <cfRule type="containsText" dxfId="445" priority="1054" operator="containsText" text="PENDIENTE">
      <formula>NOT(ISERROR(SEARCH("PENDIENTE",BB91)))</formula>
    </cfRule>
    <cfRule type="containsText" dxfId="444" priority="1053" operator="containsText" text="ENTREGADO">
      <formula>NOT(ISERROR(SEARCH("ENTREGADO",BB91)))</formula>
    </cfRule>
  </conditionalFormatting>
  <conditionalFormatting sqref="BB92">
    <cfRule type="containsText" dxfId="443" priority="911" operator="containsText" text="ENTREGADO">
      <formula>NOT(ISERROR(SEARCH("ENTREGADO",BB92)))</formula>
    </cfRule>
    <cfRule type="containsText" dxfId="442" priority="910" operator="containsText" text="PRIORIDAD">
      <formula>NOT(ISERROR(SEARCH("PRIORIDAD",BB92)))</formula>
    </cfRule>
    <cfRule type="containsText" dxfId="441" priority="907" operator="containsText" text="PENDIENTE">
      <formula>NOT(ISERROR(SEARCH("PENDIENTE",#REF!)))</formula>
    </cfRule>
    <cfRule type="containsText" dxfId="440" priority="906" operator="containsText" text="ENTREGADO">
      <formula>NOT(ISERROR(SEARCH("ENTREGADO",BB92)))</formula>
    </cfRule>
    <cfRule type="containsText" dxfId="439" priority="905" operator="containsText" text="ENTREGADO">
      <formula>NOT(ISERROR(SEARCH("ENTREGADO",BB92)))</formula>
    </cfRule>
    <cfRule type="containsText" dxfId="438" priority="913" operator="containsText" text="PENDIENTE">
      <formula>NOT(ISERROR(SEARCH("PENDIENTE",BB92)))</formula>
    </cfRule>
    <cfRule type="containsText" dxfId="437" priority="909" operator="containsText" text="ENTREGADO">
      <formula>NOT(ISERROR(SEARCH("ENTREGADO",#REF!)))</formula>
    </cfRule>
    <cfRule type="containsText" dxfId="436" priority="904" operator="containsText" text="ENTREGADO">
      <formula>NOT(ISERROR(SEARCH("ENTREGADO",#REF!)))</formula>
    </cfRule>
    <cfRule type="containsText" dxfId="435" priority="908" operator="containsText" text="PENDIENTE">
      <formula>NOT(ISERROR(SEARCH("PENDIENTE",BB92)))</formula>
    </cfRule>
    <cfRule type="containsText" dxfId="434" priority="903" operator="containsText" text="ENTREGADO">
      <formula>NOT(ISERROR(SEARCH("ENTREGADO",BB92)))</formula>
    </cfRule>
    <cfRule type="containsText" dxfId="433" priority="912" operator="containsText" text="ENTREGADO">
      <formula>NOT(ISERROR(SEARCH("ENTREGADO",BB92)))</formula>
    </cfRule>
  </conditionalFormatting>
  <conditionalFormatting sqref="BB27:BC27 BB27:BB34">
    <cfRule type="containsText" dxfId="432" priority="12304" operator="containsText" text="ENTREGADO">
      <formula>NOT(ISERROR(SEARCH("ENTREGADO",BB27)))</formula>
    </cfRule>
  </conditionalFormatting>
  <conditionalFormatting sqref="BB29:BC29">
    <cfRule type="containsText" dxfId="431" priority="20588" operator="containsText" text="PENDIENTE">
      <formula>NOT(ISERROR(SEARCH("PENDIENTE",#REF!)))</formula>
    </cfRule>
    <cfRule type="containsText" dxfId="430" priority="20585" operator="containsText" text="ENTREGADO">
      <formula>NOT(ISERROR(SEARCH("ENTREGADO",BB29)))</formula>
    </cfRule>
  </conditionalFormatting>
  <conditionalFormatting sqref="BB30:BC30 K30:N30 G30:H30">
    <cfRule type="containsText" dxfId="429" priority="19003" operator="containsText" text="PENDIENTE">
      <formula>NOT(ISERROR(SEARCH("PENDIENTE",#REF!)))</formula>
    </cfRule>
  </conditionalFormatting>
  <conditionalFormatting sqref="BB30:BC30">
    <cfRule type="containsText" dxfId="428" priority="19000" operator="containsText" text="ENTREGADO">
      <formula>NOT(ISERROR(SEARCH("ENTREGADO",BB30)))</formula>
    </cfRule>
  </conditionalFormatting>
  <conditionalFormatting sqref="BB32:BC32 J32:N32 G32:H32">
    <cfRule type="containsText" dxfId="427" priority="19884" operator="containsText" text="PENDIENTE">
      <formula>NOT(ISERROR(SEARCH("PENDIENTE",#REF!)))</formula>
    </cfRule>
  </conditionalFormatting>
  <conditionalFormatting sqref="BB32:BC32">
    <cfRule type="containsText" dxfId="426" priority="19881" operator="containsText" text="ENTREGADO">
      <formula>NOT(ISERROR(SEARCH("ENTREGADO",BB32)))</formula>
    </cfRule>
  </conditionalFormatting>
  <conditionalFormatting sqref="BB34:BC34">
    <cfRule type="containsText" dxfId="425" priority="20236" operator="containsText" text="PENDIENTE">
      <formula>NOT(ISERROR(SEARCH("PENDIENTE",#REF!)))</formula>
    </cfRule>
    <cfRule type="containsText" dxfId="424" priority="20233" operator="containsText" text="ENTREGADO">
      <formula>NOT(ISERROR(SEARCH("ENTREGADO",BB34)))</formula>
    </cfRule>
  </conditionalFormatting>
  <conditionalFormatting sqref="BB38:BC38">
    <cfRule type="containsText" dxfId="423" priority="15640" operator="containsText" text="ENTREGADO">
      <formula>NOT(ISERROR(SEARCH("ENTREGADO",BB38)))</formula>
    </cfRule>
  </conditionalFormatting>
  <conditionalFormatting sqref="BB39:BC39">
    <cfRule type="containsText" dxfId="422" priority="4224" operator="containsText" text="ENTREGADO">
      <formula>NOT(ISERROR(SEARCH("ENTREGADO",BB39)))</formula>
    </cfRule>
  </conditionalFormatting>
  <conditionalFormatting sqref="BB40:BC40">
    <cfRule type="containsText" dxfId="421" priority="7242" operator="containsText" text="ENTREGADO">
      <formula>NOT(ISERROR(SEARCH("ENTREGADO",BB40)))</formula>
    </cfRule>
  </conditionalFormatting>
  <conditionalFormatting sqref="BB41:BC41">
    <cfRule type="containsText" dxfId="420" priority="3865" operator="containsText" text="ENTREGADO">
      <formula>NOT(ISERROR(SEARCH("ENTREGADO",BB41)))</formula>
    </cfRule>
    <cfRule type="containsText" dxfId="419" priority="3868" operator="containsText" text="PENDIENTE">
      <formula>NOT(ISERROR(SEARCH("PENDIENTE",#REF!)))</formula>
    </cfRule>
  </conditionalFormatting>
  <conditionalFormatting sqref="BB42:BC44">
    <cfRule type="containsText" dxfId="418" priority="12862" operator="containsText" text="ENTREGADO">
      <formula>NOT(ISERROR(SEARCH("ENTREGADO",BB42)))</formula>
    </cfRule>
    <cfRule type="containsText" dxfId="417" priority="12861" operator="containsText" text="PRIORIDAD">
      <formula>NOT(ISERROR(SEARCH("PRIORIDAD",BB42)))</formula>
    </cfRule>
  </conditionalFormatting>
  <conditionalFormatting sqref="BB77:BC77">
    <cfRule type="containsText" dxfId="416" priority="2115" operator="containsText" text="ENTREGADO">
      <formula>NOT(ISERROR(SEARCH("ENTREGADO",BB77)))</formula>
    </cfRule>
    <cfRule type="containsText" dxfId="415" priority="2118" operator="containsText" text="PENDIENTE">
      <formula>NOT(ISERROR(SEARCH("PENDIENTE",#REF!)))</formula>
    </cfRule>
  </conditionalFormatting>
  <conditionalFormatting sqref="BC4">
    <cfRule type="containsText" dxfId="414" priority="18784" operator="containsText" text="PENDIENTE">
      <formula>NOT(ISERROR(SEARCH("PENDIENTE",BC4)))</formula>
    </cfRule>
    <cfRule type="containsText" dxfId="413" priority="18783" operator="containsText" text="ENTREGADO">
      <formula>NOT(ISERROR(SEARCH("ENTREGADO",BC4)))</formula>
    </cfRule>
  </conditionalFormatting>
  <conditionalFormatting sqref="BC28 BH28:XFD28 AD27:AG30 AD32:AG32 AD40:AG40 AI40:AL40 AI32:AL32 AI28:AO28 AI27:AL27 AN27:AO27 AI29:AL30 AN29:AO30 AN32:AO32 AN40:AO40 AR40:BA40 AR32:BA32 AR34:BA34 AN34:AO34 AI34:AL34 AD34:AG34 AR27:BA30">
    <cfRule type="containsText" dxfId="412" priority="23201" operator="containsText" text="ENTREGADO">
      <formula>NOT(ISERROR(SEARCH("ENTREGADO",#REF!)))</formula>
    </cfRule>
  </conditionalFormatting>
  <conditionalFormatting sqref="BC31 BH31:XFD31 T31">
    <cfRule type="containsText" dxfId="411" priority="17429" operator="containsText" text="ENTREGADO">
      <formula>NOT(ISERROR(SEARCH("ENTREGADO",#REF!)))</formula>
    </cfRule>
  </conditionalFormatting>
  <conditionalFormatting sqref="BC31 BH31:XFD31">
    <cfRule type="containsText" dxfId="410" priority="17428" operator="containsText" text="ENTREGADO">
      <formula>NOT(ISERROR(SEARCH("ENTREGADO",BC31)))</formula>
    </cfRule>
    <cfRule type="containsText" dxfId="409" priority="17427" operator="containsText" text="PRIORIDAD">
      <formula>NOT(ISERROR(SEARCH("PRIORIDAD",BC31)))</formula>
    </cfRule>
  </conditionalFormatting>
  <conditionalFormatting sqref="BC35:BC38 BH35:XFD38">
    <cfRule type="containsText" dxfId="408" priority="15662" operator="containsText" text="ENTREGADO">
      <formula>NOT(ISERROR(SEARCH("ENTREGADO",#REF!)))</formula>
    </cfRule>
  </conditionalFormatting>
  <conditionalFormatting sqref="BC35:BC39 BH35:XFD39 A39 G39:H39 J39:N39 P39 T39 V39:X39">
    <cfRule type="containsText" dxfId="407" priority="4237" operator="containsText" text="PRIORIDAD">
      <formula>NOT(ISERROR(SEARCH("PRIORIDAD",A35)))</formula>
    </cfRule>
  </conditionalFormatting>
  <conditionalFormatting sqref="BC38 BH38:XFD38">
    <cfRule type="containsText" dxfId="406" priority="15672" operator="containsText" text="PENDIENTE">
      <formula>NOT(ISERROR(SEARCH("PENDIENTE",BC38)))</formula>
    </cfRule>
    <cfRule type="containsText" dxfId="405" priority="15671" operator="containsText" text="PENDIENTE">
      <formula>NOT(ISERROR(SEARCH("PENDIENTE",#REF!)))</formula>
    </cfRule>
    <cfRule type="containsText" dxfId="404" priority="15670" operator="containsText" text="ENTREGADO">
      <formula>NOT(ISERROR(SEARCH("ENTREGADO",BC38)))</formula>
    </cfRule>
  </conditionalFormatting>
  <conditionalFormatting sqref="BC42:BC44 BH42:XFD44 A42:A44">
    <cfRule type="containsText" dxfId="403" priority="12893" operator="containsText" text="PENDIENTE">
      <formula>NOT(ISERROR(SEARCH("PENDIENTE",#REF!)))</formula>
    </cfRule>
    <cfRule type="containsText" dxfId="402" priority="12894" operator="containsText" text="PENDIENTE">
      <formula>NOT(ISERROR(SEARCH("PENDIENTE",A42)))</formula>
    </cfRule>
  </conditionalFormatting>
  <conditionalFormatting sqref="BC42:BC44 BH42:XFD44">
    <cfRule type="containsText" dxfId="401" priority="12892" operator="containsText" text="ENTREGADO">
      <formula>NOT(ISERROR(SEARCH("ENTREGADO",BC42)))</formula>
    </cfRule>
  </conditionalFormatting>
  <conditionalFormatting sqref="BC42:BC44">
    <cfRule type="containsText" dxfId="400" priority="12884" operator="containsText" text="ENTREGADO">
      <formula>NOT(ISERROR(SEARCH("ENTREGADO",#REF!)))</formula>
    </cfRule>
  </conditionalFormatting>
  <conditionalFormatting sqref="BC45:BC50">
    <cfRule type="containsText" dxfId="399" priority="4359" operator="containsText" text="PRIORIDAD">
      <formula>NOT(ISERROR(SEARCH("PRIORIDAD",BC45)))</formula>
    </cfRule>
  </conditionalFormatting>
  <conditionalFormatting sqref="BC51:BC53 BH51:XFD53">
    <cfRule type="containsText" dxfId="398" priority="11113" operator="containsText" text="ENTREGADO">
      <formula>NOT(ISERROR(SEARCH("ENTREGADO",#REF!)))</formula>
    </cfRule>
  </conditionalFormatting>
  <conditionalFormatting sqref="BC52:BC53 BH52:XFD53 V52:X53 AD52:AG53 AI52:AL53 AN52:AO53 AR52:BA53 T52:T53">
    <cfRule type="containsText" dxfId="397" priority="11125" operator="containsText" text="ENTREGADO">
      <formula>NOT(ISERROR(SEARCH("ENTREGADO",T52)))</formula>
    </cfRule>
  </conditionalFormatting>
  <conditionalFormatting sqref="BC55 BH55:XFD55 V55:X55 AD55:AG55 AI55:AL55 AN55:AO55 AR55:BA55 T55">
    <cfRule type="containsText" dxfId="396" priority="630" operator="containsText" text="ENTREGADO">
      <formula>NOT(ISERROR(SEARCH("ENTREGADO",T55)))</formula>
    </cfRule>
  </conditionalFormatting>
  <conditionalFormatting sqref="BC55 BH55:XFD55">
    <cfRule type="containsText" dxfId="395" priority="625" operator="containsText" text="ENTREGADO">
      <formula>NOT(ISERROR(SEARCH("ENTREGADO",#REF!)))</formula>
    </cfRule>
  </conditionalFormatting>
  <conditionalFormatting sqref="BC56 BH56:XFD56 AD56:AG56 AI56:AL56 AN56:AO56 AR56:BA56 V56:X56 T56">
    <cfRule type="containsText" dxfId="394" priority="6999" operator="containsText" text="ENTREGADO">
      <formula>NOT(ISERROR(SEARCH("ENTREGADO",T56)))</formula>
    </cfRule>
  </conditionalFormatting>
  <conditionalFormatting sqref="BC56 BH56:XFD56">
    <cfRule type="containsText" dxfId="393" priority="6993" operator="containsText" text="ENTREGADO">
      <formula>NOT(ISERROR(SEARCH("ENTREGADO",#REF!)))</formula>
    </cfRule>
  </conditionalFormatting>
  <conditionalFormatting sqref="BC59:BC61">
    <cfRule type="containsText" dxfId="392" priority="3492" operator="containsText" text="PRIORIDAD">
      <formula>NOT(ISERROR(SEARCH("PRIORIDAD",BC59)))</formula>
    </cfRule>
  </conditionalFormatting>
  <conditionalFormatting sqref="BC71 BH71:XFD71 A71">
    <cfRule type="containsText" dxfId="391" priority="9859" operator="containsText" text="PENDIENTE">
      <formula>NOT(ISERROR(SEARCH("PENDIENTE",A71)))</formula>
    </cfRule>
    <cfRule type="containsText" dxfId="390" priority="9858" operator="containsText" text="PENDIENTE">
      <formula>NOT(ISERROR(SEARCH("PENDIENTE",#REF!)))</formula>
    </cfRule>
  </conditionalFormatting>
  <conditionalFormatting sqref="BC71 BH71:XFD71">
    <cfRule type="containsText" dxfId="389" priority="9849" operator="containsText" text="ENTREGADO">
      <formula>NOT(ISERROR(SEARCH("ENTREGADO",#REF!)))</formula>
    </cfRule>
    <cfRule type="containsText" dxfId="388" priority="9857" operator="containsText" text="ENTREGADO">
      <formula>NOT(ISERROR(SEARCH("ENTREGADO",BC71)))</formula>
    </cfRule>
  </conditionalFormatting>
  <conditionalFormatting sqref="BC72 BH72:XFD72 A72">
    <cfRule type="containsText" dxfId="387" priority="6752" operator="containsText" text="PENDIENTE">
      <formula>NOT(ISERROR(SEARCH("PENDIENTE",#REF!)))</formula>
    </cfRule>
    <cfRule type="containsText" dxfId="386" priority="6753" operator="containsText" text="PENDIENTE">
      <formula>NOT(ISERROR(SEARCH("PENDIENTE",A72)))</formula>
    </cfRule>
  </conditionalFormatting>
  <conditionalFormatting sqref="BC72 BH72:XFD72">
    <cfRule type="containsText" dxfId="385" priority="6751" operator="containsText" text="ENTREGADO">
      <formula>NOT(ISERROR(SEARCH("ENTREGADO",BC72)))</formula>
    </cfRule>
    <cfRule type="containsText" dxfId="384" priority="6744" operator="containsText" text="ENTREGADO">
      <formula>NOT(ISERROR(SEARCH("ENTREGADO",#REF!)))</formula>
    </cfRule>
  </conditionalFormatting>
  <conditionalFormatting sqref="BC73 BH73:XFD73 A73">
    <cfRule type="containsText" dxfId="383" priority="6626" operator="containsText" text="PENDIENTE">
      <formula>NOT(ISERROR(SEARCH("PENDIENTE",A73)))</formula>
    </cfRule>
    <cfRule type="containsText" dxfId="382" priority="6625" operator="containsText" text="PENDIENTE">
      <formula>NOT(ISERROR(SEARCH("PENDIENTE",#REF!)))</formula>
    </cfRule>
  </conditionalFormatting>
  <conditionalFormatting sqref="BC73 BH73:XFD73">
    <cfRule type="containsText" dxfId="381" priority="6617" operator="containsText" text="ENTREGADO">
      <formula>NOT(ISERROR(SEARCH("ENTREGADO",#REF!)))</formula>
    </cfRule>
    <cfRule type="containsText" dxfId="380" priority="6624" operator="containsText" text="ENTREGADO">
      <formula>NOT(ISERROR(SEARCH("ENTREGADO",BC73)))</formula>
    </cfRule>
  </conditionalFormatting>
  <conditionalFormatting sqref="BC74 BH74:XFD74 A74 G71:H74">
    <cfRule type="containsText" dxfId="379" priority="6498" operator="containsText" text="PENDIENTE">
      <formula>NOT(ISERROR(SEARCH("PENDIENTE",A71)))</formula>
    </cfRule>
  </conditionalFormatting>
  <conditionalFormatting sqref="BC74 BH74:XFD74 A74">
    <cfRule type="containsText" dxfId="378" priority="6497" operator="containsText" text="PENDIENTE">
      <formula>NOT(ISERROR(SEARCH("PENDIENTE",#REF!)))</formula>
    </cfRule>
  </conditionalFormatting>
  <conditionalFormatting sqref="BC74 BH74:XFD74">
    <cfRule type="containsText" dxfId="377" priority="6489" operator="containsText" text="ENTREGADO">
      <formula>NOT(ISERROR(SEARCH("ENTREGADO",#REF!)))</formula>
    </cfRule>
    <cfRule type="containsText" dxfId="376" priority="6496" operator="containsText" text="ENTREGADO">
      <formula>NOT(ISERROR(SEARCH("ENTREGADO",BC74)))</formula>
    </cfRule>
  </conditionalFormatting>
  <conditionalFormatting sqref="BC76:XFD76 BC80:XFD81 BC83:XFD84">
    <cfRule type="containsText" dxfId="375" priority="2970" operator="containsText" text="PRIORIDAD">
      <formula>NOT(ISERROR(SEARCH("PRIORIDAD",BC76)))</formula>
    </cfRule>
  </conditionalFormatting>
  <conditionalFormatting sqref="BC82:XFD82">
    <cfRule type="containsText" dxfId="374" priority="1406" operator="containsText" text="PRIORIDAD">
      <formula>NOT(ISERROR(SEARCH("PRIORIDAD",BC82)))</formula>
    </cfRule>
  </conditionalFormatting>
  <conditionalFormatting sqref="BC85:XFD85">
    <cfRule type="containsText" dxfId="373" priority="2712" operator="containsText" text="PRIORIDAD">
      <formula>NOT(ISERROR(SEARCH("PRIORIDAD",BC85)))</formula>
    </cfRule>
  </conditionalFormatting>
  <conditionalFormatting sqref="BC86:XFD86">
    <cfRule type="containsText" dxfId="372" priority="2557" operator="containsText" text="PRIORIDAD">
      <formula>NOT(ISERROR(SEARCH("PRIORIDAD",BC86)))</formula>
    </cfRule>
  </conditionalFormatting>
  <conditionalFormatting sqref="BC87:XFD87">
    <cfRule type="containsText" dxfId="371" priority="2428" operator="containsText" text="PRIORIDAD">
      <formula>NOT(ISERROR(SEARCH("PRIORIDAD",BC87)))</formula>
    </cfRule>
  </conditionalFormatting>
  <conditionalFormatting sqref="BC88:XFD88">
    <cfRule type="containsText" dxfId="370" priority="2299" operator="containsText" text="PRIORIDAD">
      <formula>NOT(ISERROR(SEARCH("PRIORIDAD",BC88)))</formula>
    </cfRule>
  </conditionalFormatting>
  <conditionalFormatting sqref="BC89:XFD89">
    <cfRule type="containsText" dxfId="369" priority="1918" operator="containsText" text="PRIORIDAD">
      <formula>NOT(ISERROR(SEARCH("PRIORIDAD",BC89)))</formula>
    </cfRule>
  </conditionalFormatting>
  <conditionalFormatting sqref="BC90:XFD90">
    <cfRule type="containsText" dxfId="368" priority="1243" operator="containsText" text="PRIORIDAD">
      <formula>NOT(ISERROR(SEARCH("PRIORIDAD",BC90)))</formula>
    </cfRule>
  </conditionalFormatting>
  <conditionalFormatting sqref="BC91:XFD91">
    <cfRule type="containsText" dxfId="367" priority="1063" operator="containsText" text="PRIORIDAD">
      <formula>NOT(ISERROR(SEARCH("PRIORIDAD",BC91)))</formula>
    </cfRule>
  </conditionalFormatting>
  <conditionalFormatting sqref="BC92:XFD92">
    <cfRule type="containsText" dxfId="366" priority="922" operator="containsText" text="PRIORIDAD">
      <formula>NOT(ISERROR(SEARCH("PRIORIDAD",BC92)))</formula>
    </cfRule>
  </conditionalFormatting>
  <conditionalFormatting sqref="BD3:BG8 BD51:BG53 AR57:BG57 BD71:BG71">
    <cfRule type="containsText" dxfId="365" priority="21338" operator="containsText" text="ENTREGADO">
      <formula>NOT(ISERROR(SEARCH("ENTREGADO",AR3)))</formula>
    </cfRule>
  </conditionalFormatting>
  <conditionalFormatting sqref="BD3:BG8 BD51:BG53 BD57:BG57 BD71:BG71">
    <cfRule type="containsText" dxfId="364" priority="21337" operator="containsText" text="PRIORIDAD">
      <formula>NOT(ISERROR(SEARCH("PRIORIDAD",BD3)))</formula>
    </cfRule>
    <cfRule type="containsText" dxfId="363" priority="21331" operator="containsText" text="PENDIENTE">
      <formula>NOT(ISERROR(SEARCH("PENDIENTE",BD3)))</formula>
    </cfRule>
  </conditionalFormatting>
  <conditionalFormatting sqref="BD3:BG9">
    <cfRule type="containsText" dxfId="362" priority="9584" operator="containsText" text="ENTREGADO">
      <formula>NOT(ISERROR(SEARCH("ENTREGADO",BD3)))</formula>
    </cfRule>
  </conditionalFormatting>
  <conditionalFormatting sqref="BD9:BG9">
    <cfRule type="containsText" dxfId="361" priority="9583" operator="containsText" text="PRIORIDAD">
      <formula>NOT(ISERROR(SEARCH("PRIORIDAD",BD9)))</formula>
    </cfRule>
    <cfRule type="containsText" dxfId="360" priority="9581" operator="containsText" text="PENDIENTE">
      <formula>NOT(ISERROR(SEARCH("PENDIENTE",#REF!)))</formula>
    </cfRule>
  </conditionalFormatting>
  <conditionalFormatting sqref="BD10:BG10">
    <cfRule type="containsText" dxfId="359" priority="8220" operator="containsText" text="ENTREGADO">
      <formula>NOT(ISERROR(SEARCH("ENTREGADO",BD10)))</formula>
    </cfRule>
    <cfRule type="containsText" dxfId="358" priority="8216" operator="containsText" text="ENTREGADO">
      <formula>NOT(ISERROR(SEARCH("ENTREGADO",#REF!)))</formula>
    </cfRule>
    <cfRule type="containsText" dxfId="357" priority="8219" operator="containsText" text="PRIORIDAD">
      <formula>NOT(ISERROR(SEARCH("PRIORIDAD",BD10)))</formula>
    </cfRule>
    <cfRule type="containsText" dxfId="356" priority="8218" operator="containsText" text="PENDIENTE">
      <formula>NOT(ISERROR(SEARCH("PENDIENTE",BD10)))</formula>
    </cfRule>
    <cfRule type="containsText" dxfId="355" priority="8215" operator="containsText" text="ENTREGADO">
      <formula>NOT(ISERROR(SEARCH("ENTREGADO",BD10)))</formula>
    </cfRule>
    <cfRule type="containsText" dxfId="354" priority="8217" operator="containsText" text="PENDIENTE">
      <formula>NOT(ISERROR(SEARCH("PENDIENTE",#REF!)))</formula>
    </cfRule>
  </conditionalFormatting>
  <conditionalFormatting sqref="BD11:BG11">
    <cfRule type="containsText" dxfId="353" priority="8127" operator="containsText" text="ENTREGADO">
      <formula>NOT(ISERROR(SEARCH("ENTREGADO",#REF!)))</formula>
    </cfRule>
    <cfRule type="containsText" dxfId="352" priority="8131" operator="containsText" text="ENTREGADO">
      <formula>NOT(ISERROR(SEARCH("ENTREGADO",BD11)))</formula>
    </cfRule>
    <cfRule type="containsText" dxfId="351" priority="8130" operator="containsText" text="PRIORIDAD">
      <formula>NOT(ISERROR(SEARCH("PRIORIDAD",BD11)))</formula>
    </cfRule>
    <cfRule type="containsText" dxfId="350" priority="8129" operator="containsText" text="PENDIENTE">
      <formula>NOT(ISERROR(SEARCH("PENDIENTE",BD11)))</formula>
    </cfRule>
    <cfRule type="containsText" dxfId="349" priority="8128" operator="containsText" text="PENDIENTE">
      <formula>NOT(ISERROR(SEARCH("PENDIENTE",#REF!)))</formula>
    </cfRule>
  </conditionalFormatting>
  <conditionalFormatting sqref="BD12:BG12">
    <cfRule type="containsText" dxfId="348" priority="8839" operator="containsText" text="ENTREGADO">
      <formula>NOT(ISERROR(SEARCH("ENTREGADO",#REF!)))</formula>
    </cfRule>
    <cfRule type="containsText" dxfId="347" priority="8842" operator="containsText" text="PRIORIDAD">
      <formula>NOT(ISERROR(SEARCH("PRIORIDAD",BD12)))</formula>
    </cfRule>
    <cfRule type="containsText" dxfId="346" priority="8838" operator="containsText" text="ENTREGADO">
      <formula>NOT(ISERROR(SEARCH("ENTREGADO",BD12)))</formula>
    </cfRule>
    <cfRule type="containsText" dxfId="345" priority="8843" operator="containsText" text="ENTREGADO">
      <formula>NOT(ISERROR(SEARCH("ENTREGADO",BD12)))</formula>
    </cfRule>
    <cfRule type="containsText" dxfId="344" priority="8841" operator="containsText" text="PENDIENTE">
      <formula>NOT(ISERROR(SEARCH("PENDIENTE",BD12)))</formula>
    </cfRule>
    <cfRule type="containsText" dxfId="343" priority="8840" operator="containsText" text="PENDIENTE">
      <formula>NOT(ISERROR(SEARCH("PENDIENTE",#REF!)))</formula>
    </cfRule>
  </conditionalFormatting>
  <conditionalFormatting sqref="BD13:BG13">
    <cfRule type="containsText" dxfId="342" priority="8754" operator="containsText" text="ENTREGADO">
      <formula>NOT(ISERROR(SEARCH("ENTREGADO",BD13)))</formula>
    </cfRule>
    <cfRule type="containsText" dxfId="341" priority="8753" operator="containsText" text="PRIORIDAD">
      <formula>NOT(ISERROR(SEARCH("PRIORIDAD",BD13)))</formula>
    </cfRule>
    <cfRule type="containsText" dxfId="340" priority="8751" operator="containsText" text="PENDIENTE">
      <formula>NOT(ISERROR(SEARCH("PENDIENTE",#REF!)))</formula>
    </cfRule>
  </conditionalFormatting>
  <conditionalFormatting sqref="BD14:BG14">
    <cfRule type="containsText" dxfId="339" priority="8664" operator="containsText" text="PRIORIDAD">
      <formula>NOT(ISERROR(SEARCH("PRIORIDAD",BD14)))</formula>
    </cfRule>
    <cfRule type="containsText" dxfId="338" priority="8665" operator="containsText" text="ENTREGADO">
      <formula>NOT(ISERROR(SEARCH("ENTREGADO",BD14)))</formula>
    </cfRule>
    <cfRule type="containsText" dxfId="337" priority="8660" operator="containsText" text="ENTREGADO">
      <formula>NOT(ISERROR(SEARCH("ENTREGADO",BD14)))</formula>
    </cfRule>
    <cfRule type="containsText" dxfId="336" priority="8661" operator="containsText" text="ENTREGADO">
      <formula>NOT(ISERROR(SEARCH("ENTREGADO",#REF!)))</formula>
    </cfRule>
    <cfRule type="containsText" dxfId="335" priority="8662" operator="containsText" text="PENDIENTE">
      <formula>NOT(ISERROR(SEARCH("PENDIENTE",#REF!)))</formula>
    </cfRule>
    <cfRule type="containsText" dxfId="334" priority="8663" operator="containsText" text="PENDIENTE">
      <formula>NOT(ISERROR(SEARCH("PENDIENTE",BD14)))</formula>
    </cfRule>
  </conditionalFormatting>
  <conditionalFormatting sqref="BD15:BG15">
    <cfRule type="containsText" dxfId="333" priority="8572" operator="containsText" text="ENTREGADO">
      <formula>NOT(ISERROR(SEARCH("ENTREGADO",#REF!)))</formula>
    </cfRule>
    <cfRule type="containsText" dxfId="332" priority="8576" operator="containsText" text="ENTREGADO">
      <formula>NOT(ISERROR(SEARCH("ENTREGADO",BD15)))</formula>
    </cfRule>
    <cfRule type="containsText" dxfId="331" priority="8575" operator="containsText" text="PRIORIDAD">
      <formula>NOT(ISERROR(SEARCH("PRIORIDAD",BD15)))</formula>
    </cfRule>
    <cfRule type="containsText" dxfId="330" priority="8574" operator="containsText" text="PENDIENTE">
      <formula>NOT(ISERROR(SEARCH("PENDIENTE",BD15)))</formula>
    </cfRule>
    <cfRule type="containsText" dxfId="329" priority="8573" operator="containsText" text="PENDIENTE">
      <formula>NOT(ISERROR(SEARCH("PENDIENTE",#REF!)))</formula>
    </cfRule>
  </conditionalFormatting>
  <conditionalFormatting sqref="BD16:BG16">
    <cfRule type="containsText" dxfId="328" priority="8487" operator="containsText" text="ENTREGADO">
      <formula>NOT(ISERROR(SEARCH("ENTREGADO",BD16)))</formula>
    </cfRule>
    <cfRule type="containsText" dxfId="327" priority="8482" operator="containsText" text="ENTREGADO">
      <formula>NOT(ISERROR(SEARCH("ENTREGADO",BD16)))</formula>
    </cfRule>
    <cfRule type="containsText" dxfId="326" priority="8483" operator="containsText" text="ENTREGADO">
      <formula>NOT(ISERROR(SEARCH("ENTREGADO",#REF!)))</formula>
    </cfRule>
    <cfRule type="containsText" dxfId="325" priority="8484" operator="containsText" text="PENDIENTE">
      <formula>NOT(ISERROR(SEARCH("PENDIENTE",#REF!)))</formula>
    </cfRule>
    <cfRule type="containsText" dxfId="324" priority="8485" operator="containsText" text="PENDIENTE">
      <formula>NOT(ISERROR(SEARCH("PENDIENTE",BD16)))</formula>
    </cfRule>
    <cfRule type="containsText" dxfId="323" priority="8486" operator="containsText" text="PRIORIDAD">
      <formula>NOT(ISERROR(SEARCH("PRIORIDAD",BD16)))</formula>
    </cfRule>
  </conditionalFormatting>
  <conditionalFormatting sqref="BD17:BG17">
    <cfRule type="containsText" dxfId="322" priority="8397" operator="containsText" text="PRIORIDAD">
      <formula>NOT(ISERROR(SEARCH("PRIORIDAD",BD17)))</formula>
    </cfRule>
    <cfRule type="containsText" dxfId="321" priority="8396" operator="containsText" text="PENDIENTE">
      <formula>NOT(ISERROR(SEARCH("PENDIENTE",BD17)))</formula>
    </cfRule>
    <cfRule type="containsText" dxfId="320" priority="8395" operator="containsText" text="PENDIENTE">
      <formula>NOT(ISERROR(SEARCH("PENDIENTE",#REF!)))</formula>
    </cfRule>
    <cfRule type="containsText" dxfId="319" priority="8394" operator="containsText" text="ENTREGADO">
      <formula>NOT(ISERROR(SEARCH("ENTREGADO",#REF!)))</formula>
    </cfRule>
  </conditionalFormatting>
  <conditionalFormatting sqref="BD17:BG22">
    <cfRule type="containsText" dxfId="318" priority="8398" operator="containsText" text="ENTREGADO">
      <formula>NOT(ISERROR(SEARCH("ENTREGADO",BD17)))</formula>
    </cfRule>
  </conditionalFormatting>
  <conditionalFormatting sqref="BD18:BG22 BD42:BG45 C8:D22 F37:H37 T57:X57 AD57:AG57 BH57:XFD57 C3:D3 G3:N4 F31:H31 C5:D6 F3:F7 C42:E45 AI57:AL57 AN57:AO57 AR57:BC57 J31:N31 J35:N38 G38:H38 G35:H36 C50:D50">
    <cfRule type="containsText" dxfId="317" priority="25723" operator="containsText" text="ENTREGADO">
      <formula>NOT(ISERROR(SEARCH("ENTREGADO",#REF!)))</formula>
    </cfRule>
  </conditionalFormatting>
  <conditionalFormatting sqref="BD25:BG25 AD25:AG25 AI25:AL25 AN25:AO25 AR25:AW25">
    <cfRule type="containsText" dxfId="316" priority="6378" operator="containsText" text="PENDIENTE">
      <formula>NOT(ISERROR(SEARCH("PENDIENTE",#REF!)))</formula>
    </cfRule>
  </conditionalFormatting>
  <conditionalFormatting sqref="BD26:BG26 AD26:AG26 AI26:AL26 AN26:AO26 AR26:AW26">
    <cfRule type="containsText" dxfId="315" priority="6339" operator="containsText" text="PENDIENTE">
      <formula>NOT(ISERROR(SEARCH("PENDIENTE",#REF!)))</formula>
    </cfRule>
  </conditionalFormatting>
  <conditionalFormatting sqref="BD27:BG38">
    <cfRule type="containsText" dxfId="314" priority="5961" operator="containsText" text="PRIORIDAD">
      <formula>NOT(ISERROR(SEARCH("PRIORIDAD",BD27)))</formula>
    </cfRule>
  </conditionalFormatting>
  <conditionalFormatting sqref="BD33:BG33">
    <cfRule type="containsText" dxfId="313" priority="5962" operator="containsText" text="ENTREGADO">
      <formula>NOT(ISERROR(SEARCH("ENTREGADO",BD33)))</formula>
    </cfRule>
    <cfRule type="containsText" dxfId="312" priority="5960" operator="containsText" text="PENDIENTE">
      <formula>NOT(ISERROR(SEARCH("PENDIENTE",BD33)))</formula>
    </cfRule>
    <cfRule type="containsText" dxfId="311" priority="5893" operator="containsText" text="ENTREGADO">
      <formula>NOT(ISERROR(SEARCH("ENTREGADO",BD33)))</formula>
    </cfRule>
    <cfRule type="containsText" dxfId="310" priority="5958" operator="containsText" text="ENTREGADO">
      <formula>NOT(ISERROR(SEARCH("ENTREGADO",#REF!)))</formula>
    </cfRule>
    <cfRule type="containsText" dxfId="309" priority="5959" operator="containsText" text="PENDIENTE">
      <formula>NOT(ISERROR(SEARCH("PENDIENTE",#REF!)))</formula>
    </cfRule>
  </conditionalFormatting>
  <conditionalFormatting sqref="BD34:BG38 O40 C40:E40 BD40:BG40">
    <cfRule type="containsText" dxfId="308" priority="7309" operator="containsText" text="ENTREGADO">
      <formula>NOT(ISERROR(SEARCH("ENTREGADO",C34)))</formula>
    </cfRule>
  </conditionalFormatting>
  <conditionalFormatting sqref="BD39:BG39">
    <cfRule type="containsText" dxfId="307" priority="4000" operator="containsText" text="PRIORIDAD">
      <formula>NOT(ISERROR(SEARCH("PRIORIDAD",BD39)))</formula>
    </cfRule>
    <cfRule type="containsText" dxfId="306" priority="4049" operator="containsText" text="ENTREGADO">
      <formula>NOT(ISERROR(SEARCH("ENTREGADO",BD39)))</formula>
    </cfRule>
    <cfRule type="containsText" dxfId="305" priority="4048" operator="containsText" text="ENTREGADO">
      <formula>NOT(ISERROR(SEARCH("ENTREGADO",BD39)))</formula>
    </cfRule>
  </conditionalFormatting>
  <conditionalFormatting sqref="BD40:BG40 C40:E40">
    <cfRule type="containsText" dxfId="304" priority="7299" operator="containsText" text="ENTREGADO">
      <formula>NOT(ISERROR(SEARCH("ENTREGADO",#REF!)))</formula>
    </cfRule>
  </conditionalFormatting>
  <conditionalFormatting sqref="BD40:BG40">
    <cfRule type="containsText" dxfId="303" priority="7298" operator="containsText" text="ENTREGADO">
      <formula>NOT(ISERROR(SEARCH("ENTREGADO",BD40)))</formula>
    </cfRule>
    <cfRule type="containsText" dxfId="302" priority="7297" operator="containsText" text="ENTREGADO">
      <formula>NOT(ISERROR(SEARCH("ENTREGADO",BD40)))</formula>
    </cfRule>
    <cfRule type="containsText" dxfId="301" priority="7296" operator="containsText" text="PENDIENTE">
      <formula>NOT(ISERROR(SEARCH("PENDIENTE",#REF!)))</formula>
    </cfRule>
  </conditionalFormatting>
  <conditionalFormatting sqref="BD41:BG41 C41:D41">
    <cfRule type="containsText" dxfId="300" priority="3783" operator="containsText" text="ENTREGADO">
      <formula>NOT(ISERROR(SEARCH("ENTREGADO",#REF!)))</formula>
    </cfRule>
  </conditionalFormatting>
  <conditionalFormatting sqref="BD41:BG41 E41">
    <cfRule type="containsText" dxfId="299" priority="3784" operator="containsText" text="PENDIENTE">
      <formula>NOT(ISERROR(SEARCH("PENDIENTE",E41)))</formula>
    </cfRule>
  </conditionalFormatting>
  <conditionalFormatting sqref="BD41:BG41">
    <cfRule type="containsText" dxfId="298" priority="3715" operator="containsText" text="ENTREGADO">
      <formula>NOT(ISERROR(SEARCH("ENTREGADO",BD41)))</formula>
    </cfRule>
    <cfRule type="containsText" dxfId="297" priority="3909" operator="containsText" text="ENTREGADO">
      <formula>NOT(ISERROR(SEARCH("ENTREGADO",BD41)))</formula>
    </cfRule>
    <cfRule type="containsText" dxfId="296" priority="3714" operator="containsText" text="PRIORIDAD">
      <formula>NOT(ISERROR(SEARCH("PRIORIDAD",BD41)))</formula>
    </cfRule>
  </conditionalFormatting>
  <conditionalFormatting sqref="BD42:BG45 BD50:BG50">
    <cfRule type="containsText" dxfId="295" priority="9256" operator="containsText" text="PENDIENTE">
      <formula>NOT(ISERROR(SEARCH("PENDIENTE",#REF!)))</formula>
    </cfRule>
  </conditionalFormatting>
  <conditionalFormatting sqref="BD46:BG49 C46:E49">
    <cfRule type="containsText" dxfId="294" priority="4437" operator="containsText" text="ENTREGADO">
      <formula>NOT(ISERROR(SEARCH("ENTREGADO",#REF!)))</formula>
    </cfRule>
  </conditionalFormatting>
  <conditionalFormatting sqref="BD46:BG49 E46:H49 J46:N49">
    <cfRule type="containsText" dxfId="293" priority="4445" operator="containsText" text="ENTREGADO">
      <formula>NOT(ISERROR(SEARCH("ENTREGADO",E46)))</formula>
    </cfRule>
  </conditionalFormatting>
  <conditionalFormatting sqref="BD46:BG49">
    <cfRule type="containsText" dxfId="292" priority="4381" operator="containsText" text="PENDIENTE">
      <formula>NOT(ISERROR(SEARCH("PENDIENTE",#REF!)))</formula>
    </cfRule>
    <cfRule type="containsText" dxfId="291" priority="4436" operator="containsText" text="ENTREGADO">
      <formula>NOT(ISERROR(SEARCH("ENTREGADO",BD46)))</formula>
    </cfRule>
  </conditionalFormatting>
  <conditionalFormatting sqref="BD50:BG50">
    <cfRule type="containsText" dxfId="290" priority="9259" operator="containsText" text="ENTREGADO">
      <formula>NOT(ISERROR(SEARCH("ENTREGADO",BD50)))</formula>
    </cfRule>
    <cfRule type="containsText" dxfId="289" priority="9255" operator="containsText" text="ENTREGADO">
      <formula>NOT(ISERROR(SEARCH("ENTREGADO",#REF!)))</formula>
    </cfRule>
    <cfRule type="containsText" dxfId="288" priority="9257" operator="containsText" text="PENDIENTE">
      <formula>NOT(ISERROR(SEARCH("PENDIENTE",BD50)))</formula>
    </cfRule>
    <cfRule type="containsText" dxfId="287" priority="9258" operator="containsText" text="PRIORIDAD">
      <formula>NOT(ISERROR(SEARCH("PRIORIDAD",BD50)))</formula>
    </cfRule>
  </conditionalFormatting>
  <conditionalFormatting sqref="BD53:BG53">
    <cfRule type="containsText" dxfId="286" priority="264" operator="containsText" text="ENTREGADO">
      <formula>NOT(ISERROR(SEARCH("ENTREGADO",BD53)))</formula>
    </cfRule>
    <cfRule type="containsText" dxfId="285" priority="268" operator="containsText" text="PRIORIDAD">
      <formula>NOT(ISERROR(SEARCH("PRIORIDAD",BD53)))</formula>
    </cfRule>
    <cfRule type="containsText" dxfId="284" priority="266" operator="containsText" text="PENDIENTE">
      <formula>NOT(ISERROR(SEARCH("PENDIENTE",#REF!)))</formula>
    </cfRule>
    <cfRule type="containsText" dxfId="283" priority="267" operator="containsText" text="PENDIENTE">
      <formula>NOT(ISERROR(SEARCH("PENDIENTE",BD53)))</formula>
    </cfRule>
    <cfRule type="containsText" dxfId="282" priority="265" operator="containsText" text="ENTREGADO">
      <formula>NOT(ISERROR(SEARCH("ENTREGADO",#REF!)))</formula>
    </cfRule>
    <cfRule type="containsText" dxfId="281" priority="269" operator="containsText" text="ENTREGADO">
      <formula>NOT(ISERROR(SEARCH("ENTREGADO",BD53)))</formula>
    </cfRule>
  </conditionalFormatting>
  <conditionalFormatting sqref="BD54:BG54">
    <cfRule type="containsText" dxfId="280" priority="7894" operator="containsText" text="ENTREGADO">
      <formula>NOT(ISERROR(SEARCH("ENTREGADO",#REF!)))</formula>
    </cfRule>
    <cfRule type="containsText" dxfId="279" priority="7895" operator="containsText" text="PENDIENTE">
      <formula>NOT(ISERROR(SEARCH("PENDIENTE",#REF!)))</formula>
    </cfRule>
    <cfRule type="containsText" dxfId="278" priority="7896" operator="containsText" text="PENDIENTE">
      <formula>NOT(ISERROR(SEARCH("PENDIENTE",BD54)))</formula>
    </cfRule>
    <cfRule type="containsText" dxfId="277" priority="7897" operator="containsText" text="PRIORIDAD">
      <formula>NOT(ISERROR(SEARCH("PRIORIDAD",BD54)))</formula>
    </cfRule>
    <cfRule type="containsText" dxfId="276" priority="7898" operator="containsText" text="ENTREGADO">
      <formula>NOT(ISERROR(SEARCH("ENTREGADO",BD54)))</formula>
    </cfRule>
    <cfRule type="containsText" dxfId="275" priority="7893" operator="containsText" text="ENTREGADO">
      <formula>NOT(ISERROR(SEARCH("ENTREGADO",BD54)))</formula>
    </cfRule>
  </conditionalFormatting>
  <conditionalFormatting sqref="BD55:BG55">
    <cfRule type="containsText" dxfId="274" priority="657" operator="containsText" text="PRIORIDAD">
      <formula>NOT(ISERROR(SEARCH("PRIORIDAD",BD55)))</formula>
    </cfRule>
    <cfRule type="containsText" dxfId="273" priority="656" operator="containsText" text="PENDIENTE">
      <formula>NOT(ISERROR(SEARCH("PENDIENTE",BD55)))</formula>
    </cfRule>
    <cfRule type="containsText" dxfId="272" priority="655" operator="containsText" text="PENDIENTE">
      <formula>NOT(ISERROR(SEARCH("PENDIENTE",#REF!)))</formula>
    </cfRule>
    <cfRule type="containsText" dxfId="271" priority="654" operator="containsText" text="ENTREGADO">
      <formula>NOT(ISERROR(SEARCH("ENTREGADO",#REF!)))</formula>
    </cfRule>
    <cfRule type="containsText" dxfId="270" priority="658" operator="containsText" text="ENTREGADO">
      <formula>NOT(ISERROR(SEARCH("ENTREGADO",BD55)))</formula>
    </cfRule>
    <cfRule type="containsText" dxfId="269" priority="653" operator="containsText" text="ENTREGADO">
      <formula>NOT(ISERROR(SEARCH("ENTREGADO",BD55)))</formula>
    </cfRule>
  </conditionalFormatting>
  <conditionalFormatting sqref="BD56:BG56">
    <cfRule type="containsText" dxfId="268" priority="7037" operator="containsText" text="PRIORIDAD">
      <formula>NOT(ISERROR(SEARCH("PRIORIDAD",BD56)))</formula>
    </cfRule>
    <cfRule type="containsText" dxfId="267" priority="7036" operator="containsText" text="PENDIENTE">
      <formula>NOT(ISERROR(SEARCH("PENDIENTE",BD56)))</formula>
    </cfRule>
    <cfRule type="containsText" dxfId="266" priority="7035" operator="containsText" text="PENDIENTE">
      <formula>NOT(ISERROR(SEARCH("PENDIENTE",#REF!)))</formula>
    </cfRule>
    <cfRule type="containsText" dxfId="265" priority="7038" operator="containsText" text="ENTREGADO">
      <formula>NOT(ISERROR(SEARCH("ENTREGADO",BD56)))</formula>
    </cfRule>
    <cfRule type="containsText" dxfId="264" priority="7034" operator="containsText" text="ENTREGADO">
      <formula>NOT(ISERROR(SEARCH("ENTREGADO",#REF!)))</formula>
    </cfRule>
    <cfRule type="containsText" dxfId="263" priority="7033" operator="containsText" text="ENTREGADO">
      <formula>NOT(ISERROR(SEARCH("ENTREGADO",BD56)))</formula>
    </cfRule>
  </conditionalFormatting>
  <conditionalFormatting sqref="BD58:BG58 BD62:BG69">
    <cfRule type="containsText" dxfId="262" priority="9125" operator="containsText" text="ENTREGADO">
      <formula>NOT(ISERROR(SEARCH("ENTREGADO",BD58)))</formula>
    </cfRule>
  </conditionalFormatting>
  <conditionalFormatting sqref="BD58:BG58">
    <cfRule type="containsText" dxfId="261" priority="9122" operator="containsText" text="PENDIENTE">
      <formula>NOT(ISERROR(SEARCH("PENDIENTE",#REF!)))</formula>
    </cfRule>
    <cfRule type="containsText" dxfId="260" priority="9124" operator="containsText" text="PRIORIDAD">
      <formula>NOT(ISERROR(SEARCH("PRIORIDAD",BD58)))</formula>
    </cfRule>
    <cfRule type="containsText" dxfId="259" priority="9123" operator="containsText" text="PENDIENTE">
      <formula>NOT(ISERROR(SEARCH("PENDIENTE",BD58)))</formula>
    </cfRule>
    <cfRule type="containsText" dxfId="258" priority="9121" operator="containsText" text="ENTREGADO">
      <formula>NOT(ISERROR(SEARCH("ENTREGADO",#REF!)))</formula>
    </cfRule>
    <cfRule type="containsText" dxfId="257" priority="9120" operator="containsText" text="ENTREGADO">
      <formula>NOT(ISERROR(SEARCH("ENTREGADO",BD58)))</formula>
    </cfRule>
  </conditionalFormatting>
  <conditionalFormatting sqref="BD59:BG59">
    <cfRule type="containsText" dxfId="256" priority="3556" operator="containsText" text="ENTREGADO">
      <formula>NOT(ISERROR(SEARCH("ENTREGADO",BD59)))</formula>
    </cfRule>
    <cfRule type="containsText" dxfId="255" priority="3552" operator="containsText" text="ENTREGADO">
      <formula>NOT(ISERROR(SEARCH("ENTREGADO",#REF!)))</formula>
    </cfRule>
    <cfRule type="containsText" dxfId="254" priority="3553" operator="containsText" text="PENDIENTE">
      <formula>NOT(ISERROR(SEARCH("PENDIENTE",#REF!)))</formula>
    </cfRule>
    <cfRule type="containsText" dxfId="253" priority="3551" operator="containsText" text="ENTREGADO">
      <formula>NOT(ISERROR(SEARCH("ENTREGADO",BD59)))</formula>
    </cfRule>
    <cfRule type="containsText" dxfId="252" priority="3554" operator="containsText" text="PENDIENTE">
      <formula>NOT(ISERROR(SEARCH("PENDIENTE",BD59)))</formula>
    </cfRule>
    <cfRule type="containsText" dxfId="251" priority="3555" operator="containsText" text="PRIORIDAD">
      <formula>NOT(ISERROR(SEARCH("PRIORIDAD",BD59)))</formula>
    </cfRule>
  </conditionalFormatting>
  <conditionalFormatting sqref="BD60:BG60">
    <cfRule type="containsText" dxfId="250" priority="4719" operator="containsText" text="ENTREGADO">
      <formula>NOT(ISERROR(SEARCH("ENTREGADO",#REF!)))</formula>
    </cfRule>
    <cfRule type="containsText" dxfId="249" priority="4718" operator="containsText" text="ENTREGADO">
      <formula>NOT(ISERROR(SEARCH("ENTREGADO",BD60)))</formula>
    </cfRule>
    <cfRule type="containsText" dxfId="248" priority="4720" operator="containsText" text="PENDIENTE">
      <formula>NOT(ISERROR(SEARCH("PENDIENTE",#REF!)))</formula>
    </cfRule>
    <cfRule type="containsText" dxfId="247" priority="4723" operator="containsText" text="ENTREGADO">
      <formula>NOT(ISERROR(SEARCH("ENTREGADO",BD60)))</formula>
    </cfRule>
    <cfRule type="containsText" dxfId="246" priority="4722" operator="containsText" text="PRIORIDAD">
      <formula>NOT(ISERROR(SEARCH("PRIORIDAD",BD60)))</formula>
    </cfRule>
    <cfRule type="containsText" dxfId="245" priority="4721" operator="containsText" text="PENDIENTE">
      <formula>NOT(ISERROR(SEARCH("PENDIENTE",BD60)))</formula>
    </cfRule>
  </conditionalFormatting>
  <conditionalFormatting sqref="BD61:BG61">
    <cfRule type="containsText" dxfId="244" priority="4581" operator="containsText" text="PENDIENTE">
      <formula>NOT(ISERROR(SEARCH("PENDIENTE",#REF!)))</formula>
    </cfRule>
    <cfRule type="containsText" dxfId="243" priority="4580" operator="containsText" text="ENTREGADO">
      <formula>NOT(ISERROR(SEARCH("ENTREGADO",#REF!)))</formula>
    </cfRule>
    <cfRule type="containsText" dxfId="242" priority="4579" operator="containsText" text="ENTREGADO">
      <formula>NOT(ISERROR(SEARCH("ENTREGADO",BD61)))</formula>
    </cfRule>
    <cfRule type="containsText" dxfId="241" priority="4584" operator="containsText" text="ENTREGADO">
      <formula>NOT(ISERROR(SEARCH("ENTREGADO",BD61)))</formula>
    </cfRule>
    <cfRule type="containsText" dxfId="240" priority="4583" operator="containsText" text="PRIORIDAD">
      <formula>NOT(ISERROR(SEARCH("PRIORIDAD",BD61)))</formula>
    </cfRule>
    <cfRule type="containsText" dxfId="239" priority="4582" operator="containsText" text="PENDIENTE">
      <formula>NOT(ISERROR(SEARCH("PENDIENTE",BD61)))</formula>
    </cfRule>
  </conditionalFormatting>
  <conditionalFormatting sqref="BD70:BG70">
    <cfRule type="containsText" dxfId="238" priority="5814" operator="containsText" text="ENTREGADO">
      <formula>NOT(ISERROR(SEARCH("ENTREGADO",BD70)))</formula>
    </cfRule>
    <cfRule type="containsText" dxfId="237" priority="5809" operator="containsText" text="ENTREGADO">
      <formula>NOT(ISERROR(SEARCH("ENTREGADO",BD70)))</formula>
    </cfRule>
  </conditionalFormatting>
  <conditionalFormatting sqref="BD71:BG71 BD3:BG8 BD51:BG53 BD57:BG57">
    <cfRule type="containsText" dxfId="236" priority="21330" operator="containsText" text="PENDIENTE">
      <formula>NOT(ISERROR(SEARCH("PENDIENTE",#REF!)))</formula>
    </cfRule>
    <cfRule type="containsText" dxfId="235" priority="21323" operator="containsText" text="ENTREGADO">
      <formula>NOT(ISERROR(SEARCH("ENTREGADO",#REF!)))</formula>
    </cfRule>
  </conditionalFormatting>
  <conditionalFormatting sqref="BD71:BG71 BD51:BG53 BD57:XFD57 BD3:BG8">
    <cfRule type="containsText" dxfId="234" priority="21322" operator="containsText" text="ENTREGADO">
      <formula>NOT(ISERROR(SEARCH("ENTREGADO",BD3)))</formula>
    </cfRule>
  </conditionalFormatting>
  <conditionalFormatting sqref="BD72:BG72">
    <cfRule type="containsText" dxfId="233" priority="6770" operator="containsText" text="PENDIENTE">
      <formula>NOT(ISERROR(SEARCH("PENDIENTE",BD72)))</formula>
    </cfRule>
    <cfRule type="containsText" dxfId="232" priority="6771" operator="containsText" text="PRIORIDAD">
      <formula>NOT(ISERROR(SEARCH("PRIORIDAD",BD72)))</formula>
    </cfRule>
    <cfRule type="containsText" dxfId="231" priority="6772" operator="containsText" text="ENTREGADO">
      <formula>NOT(ISERROR(SEARCH("ENTREGADO",BD72)))</formula>
    </cfRule>
    <cfRule type="containsText" dxfId="230" priority="6767" operator="containsText" text="ENTREGADO">
      <formula>NOT(ISERROR(SEARCH("ENTREGADO",BD72)))</formula>
    </cfRule>
    <cfRule type="containsText" dxfId="229" priority="6768" operator="containsText" text="ENTREGADO">
      <formula>NOT(ISERROR(SEARCH("ENTREGADO",#REF!)))</formula>
    </cfRule>
    <cfRule type="containsText" dxfId="228" priority="6769" operator="containsText" text="PENDIENTE">
      <formula>NOT(ISERROR(SEARCH("PENDIENTE",#REF!)))</formula>
    </cfRule>
  </conditionalFormatting>
  <conditionalFormatting sqref="BD73:BG73">
    <cfRule type="containsText" dxfId="227" priority="6642" operator="containsText" text="PENDIENTE">
      <formula>NOT(ISERROR(SEARCH("PENDIENTE",#REF!)))</formula>
    </cfRule>
    <cfRule type="containsText" dxfId="226" priority="6640" operator="containsText" text="ENTREGADO">
      <formula>NOT(ISERROR(SEARCH("ENTREGADO",BD73)))</formula>
    </cfRule>
    <cfRule type="containsText" dxfId="225" priority="6643" operator="containsText" text="PENDIENTE">
      <formula>NOT(ISERROR(SEARCH("PENDIENTE",BD73)))</formula>
    </cfRule>
    <cfRule type="containsText" dxfId="224" priority="6644" operator="containsText" text="PRIORIDAD">
      <formula>NOT(ISERROR(SEARCH("PRIORIDAD",BD73)))</formula>
    </cfRule>
    <cfRule type="containsText" dxfId="223" priority="6645" operator="containsText" text="ENTREGADO">
      <formula>NOT(ISERROR(SEARCH("ENTREGADO",BD73)))</formula>
    </cfRule>
    <cfRule type="containsText" dxfId="222" priority="6641" operator="containsText" text="ENTREGADO">
      <formula>NOT(ISERROR(SEARCH("ENTREGADO",#REF!)))</formula>
    </cfRule>
  </conditionalFormatting>
  <conditionalFormatting sqref="BD74:BG74">
    <cfRule type="containsText" dxfId="221" priority="6512" operator="containsText" text="ENTREGADO">
      <formula>NOT(ISERROR(SEARCH("ENTREGADO",BD74)))</formula>
    </cfRule>
    <cfRule type="containsText" dxfId="220" priority="6513" operator="containsText" text="ENTREGADO">
      <formula>NOT(ISERROR(SEARCH("ENTREGADO",#REF!)))</formula>
    </cfRule>
    <cfRule type="containsText" dxfId="219" priority="6514" operator="containsText" text="PENDIENTE">
      <formula>NOT(ISERROR(SEARCH("PENDIENTE",#REF!)))</formula>
    </cfRule>
    <cfRule type="containsText" dxfId="218" priority="6515" operator="containsText" text="PENDIENTE">
      <formula>NOT(ISERROR(SEARCH("PENDIENTE",BD74)))</formula>
    </cfRule>
    <cfRule type="containsText" dxfId="217" priority="6516" operator="containsText" text="PRIORIDAD">
      <formula>NOT(ISERROR(SEARCH("PRIORIDAD",BD74)))</formula>
    </cfRule>
    <cfRule type="containsText" dxfId="216" priority="6517" operator="containsText" text="ENTREGADO">
      <formula>NOT(ISERROR(SEARCH("ENTREGADO",BD74)))</formula>
    </cfRule>
  </conditionalFormatting>
  <conditionalFormatting sqref="BD75:BG75">
    <cfRule type="containsText" dxfId="215" priority="4859" operator="containsText" text="PENDIENTE">
      <formula>NOT(ISERROR(SEARCH("PENDIENTE",#REF!)))</formula>
    </cfRule>
    <cfRule type="containsText" dxfId="214" priority="4860" operator="containsText" text="PENDIENTE">
      <formula>NOT(ISERROR(SEARCH("PENDIENTE",BD75)))</formula>
    </cfRule>
    <cfRule type="containsText" dxfId="213" priority="4861" operator="containsText" text="PRIORIDAD">
      <formula>NOT(ISERROR(SEARCH("PRIORIDAD",BD75)))</formula>
    </cfRule>
    <cfRule type="containsText" dxfId="212" priority="4862" operator="containsText" text="ENTREGADO">
      <formula>NOT(ISERROR(SEARCH("ENTREGADO",BD75)))</formula>
    </cfRule>
    <cfRule type="containsText" dxfId="211" priority="4858" operator="containsText" text="ENTREGADO">
      <formula>NOT(ISERROR(SEARCH("ENTREGADO",#REF!)))</formula>
    </cfRule>
    <cfRule type="containsText" dxfId="210" priority="4857" operator="containsText" text="ENTREGADO">
      <formula>NOT(ISERROR(SEARCH("ENTREGADO",BD75)))</formula>
    </cfRule>
  </conditionalFormatting>
  <conditionalFormatting sqref="BD76:BG76 BD80:BG81 BD83:BG84">
    <cfRule type="containsText" dxfId="209" priority="2971" operator="containsText" text="ENTREGADO">
      <formula>NOT(ISERROR(SEARCH("ENTREGADO",BD76)))</formula>
    </cfRule>
    <cfRule type="containsText" dxfId="208" priority="2969" operator="containsText" text="PENDIENTE">
      <formula>NOT(ISERROR(SEARCH("PENDIENTE",BD76)))</formula>
    </cfRule>
    <cfRule type="containsText" dxfId="207" priority="2968" operator="containsText" text="PENDIENTE">
      <formula>NOT(ISERROR(SEARCH("PENDIENTE",#REF!)))</formula>
    </cfRule>
    <cfRule type="containsText" dxfId="206" priority="2967" operator="containsText" text="ENTREGADO">
      <formula>NOT(ISERROR(SEARCH("ENTREGADO",#REF!)))</formula>
    </cfRule>
    <cfRule type="containsText" dxfId="205" priority="2966" operator="containsText" text="ENTREGADO">
      <formula>NOT(ISERROR(SEARCH("ENTREGADO",BD76)))</formula>
    </cfRule>
  </conditionalFormatting>
  <conditionalFormatting sqref="BD77:BG77 C77:D77">
    <cfRule type="containsText" dxfId="204" priority="2089" operator="containsText" text="ENTREGADO">
      <formula>NOT(ISERROR(SEARCH("ENTREGADO",#REF!)))</formula>
    </cfRule>
  </conditionalFormatting>
  <conditionalFormatting sqref="BD77:BG77 E77">
    <cfRule type="containsText" dxfId="203" priority="2090" operator="containsText" text="PENDIENTE">
      <formula>NOT(ISERROR(SEARCH("PENDIENTE",E77)))</formula>
    </cfRule>
  </conditionalFormatting>
  <conditionalFormatting sqref="BD77:BG77">
    <cfRule type="containsText" dxfId="202" priority="2159" operator="containsText" text="ENTREGADO">
      <formula>NOT(ISERROR(SEARCH("ENTREGADO",BD77)))</formula>
    </cfRule>
    <cfRule type="containsText" dxfId="201" priority="2030" operator="containsText" text="ENTREGADO">
      <formula>NOT(ISERROR(SEARCH("ENTREGADO",BD77)))</formula>
    </cfRule>
  </conditionalFormatting>
  <conditionalFormatting sqref="BD77:BG78">
    <cfRule type="containsText" dxfId="200" priority="1671" operator="containsText" text="PRIORIDAD">
      <formula>NOT(ISERROR(SEARCH("PRIORIDAD",BD77)))</formula>
    </cfRule>
  </conditionalFormatting>
  <conditionalFormatting sqref="BD78:BG78">
    <cfRule type="containsText" dxfId="199" priority="1672" operator="containsText" text="ENTREGADO">
      <formula>NOT(ISERROR(SEARCH("ENTREGADO",BD78)))</formula>
    </cfRule>
    <cfRule type="containsText" dxfId="198" priority="1668" operator="containsText" text="ENTREGADO">
      <formula>NOT(ISERROR(SEARCH("ENTREGADO",#REF!)))</formula>
    </cfRule>
    <cfRule type="containsText" dxfId="197" priority="1667" operator="containsText" text="ENTREGADO">
      <formula>NOT(ISERROR(SEARCH("ENTREGADO",BD78)))</formula>
    </cfRule>
    <cfRule type="containsText" dxfId="196" priority="1670" operator="containsText" text="PENDIENTE">
      <formula>NOT(ISERROR(SEARCH("PENDIENTE",BD78)))</formula>
    </cfRule>
    <cfRule type="containsText" dxfId="195" priority="1669" operator="containsText" text="PENDIENTE">
      <formula>NOT(ISERROR(SEARCH("PENDIENTE",#REF!)))</formula>
    </cfRule>
  </conditionalFormatting>
  <conditionalFormatting sqref="BD79:BG79">
    <cfRule type="containsText" dxfId="194" priority="1543" operator="containsText" text="ENTREGADO">
      <formula>NOT(ISERROR(SEARCH("ENTREGADO",BD79)))</formula>
    </cfRule>
    <cfRule type="containsText" dxfId="193" priority="1539" operator="containsText" text="ENTREGADO">
      <formula>NOT(ISERROR(SEARCH("ENTREGADO",BD79)))</formula>
    </cfRule>
  </conditionalFormatting>
  <conditionalFormatting sqref="BD82:BG82">
    <cfRule type="containsText" dxfId="192" priority="1407" operator="containsText" text="ENTREGADO">
      <formula>NOT(ISERROR(SEARCH("ENTREGADO",BD82)))</formula>
    </cfRule>
    <cfRule type="containsText" dxfId="191" priority="1405" operator="containsText" text="PENDIENTE">
      <formula>NOT(ISERROR(SEARCH("PENDIENTE",BD82)))</formula>
    </cfRule>
    <cfRule type="containsText" dxfId="190" priority="1402" operator="containsText" text="ENTREGADO">
      <formula>NOT(ISERROR(SEARCH("ENTREGADO",BD82)))</formula>
    </cfRule>
    <cfRule type="containsText" dxfId="189" priority="1403" operator="containsText" text="ENTREGADO">
      <formula>NOT(ISERROR(SEARCH("ENTREGADO",#REF!)))</formula>
    </cfRule>
    <cfRule type="containsText" dxfId="188" priority="1404" operator="containsText" text="PENDIENTE">
      <formula>NOT(ISERROR(SEARCH("PENDIENTE",#REF!)))</formula>
    </cfRule>
  </conditionalFormatting>
  <conditionalFormatting sqref="BD85:BG85">
    <cfRule type="containsText" dxfId="187" priority="2708" operator="containsText" text="ENTREGADO">
      <formula>NOT(ISERROR(SEARCH("ENTREGADO",BD85)))</formula>
    </cfRule>
    <cfRule type="containsText" dxfId="186" priority="2709" operator="containsText" text="ENTREGADO">
      <formula>NOT(ISERROR(SEARCH("ENTREGADO",#REF!)))</formula>
    </cfRule>
    <cfRule type="containsText" dxfId="185" priority="2710" operator="containsText" text="PENDIENTE">
      <formula>NOT(ISERROR(SEARCH("PENDIENTE",#REF!)))</formula>
    </cfRule>
    <cfRule type="containsText" dxfId="184" priority="2713" operator="containsText" text="ENTREGADO">
      <formula>NOT(ISERROR(SEARCH("ENTREGADO",BD85)))</formula>
    </cfRule>
    <cfRule type="containsText" dxfId="183" priority="2711" operator="containsText" text="PENDIENTE">
      <formula>NOT(ISERROR(SEARCH("PENDIENTE",BD85)))</formula>
    </cfRule>
  </conditionalFormatting>
  <conditionalFormatting sqref="BD86:BG86">
    <cfRule type="containsText" dxfId="182" priority="2554" operator="containsText" text="ENTREGADO">
      <formula>NOT(ISERROR(SEARCH("ENTREGADO",#REF!)))</formula>
    </cfRule>
    <cfRule type="containsText" dxfId="181" priority="2556" operator="containsText" text="PENDIENTE">
      <formula>NOT(ISERROR(SEARCH("PENDIENTE",BD86)))</formula>
    </cfRule>
    <cfRule type="containsText" dxfId="180" priority="2553" operator="containsText" text="ENTREGADO">
      <formula>NOT(ISERROR(SEARCH("ENTREGADO",BD86)))</formula>
    </cfRule>
    <cfRule type="containsText" dxfId="179" priority="2558" operator="containsText" text="ENTREGADO">
      <formula>NOT(ISERROR(SEARCH("ENTREGADO",BD86)))</formula>
    </cfRule>
    <cfRule type="containsText" dxfId="178" priority="2555" operator="containsText" text="PENDIENTE">
      <formula>NOT(ISERROR(SEARCH("PENDIENTE",#REF!)))</formula>
    </cfRule>
  </conditionalFormatting>
  <conditionalFormatting sqref="BD87:BG87">
    <cfRule type="containsText" dxfId="177" priority="2425" operator="containsText" text="ENTREGADO">
      <formula>NOT(ISERROR(SEARCH("ENTREGADO",#REF!)))</formula>
    </cfRule>
    <cfRule type="containsText" dxfId="176" priority="2426" operator="containsText" text="PENDIENTE">
      <formula>NOT(ISERROR(SEARCH("PENDIENTE",#REF!)))</formula>
    </cfRule>
    <cfRule type="containsText" dxfId="175" priority="2427" operator="containsText" text="PENDIENTE">
      <formula>NOT(ISERROR(SEARCH("PENDIENTE",BD87)))</formula>
    </cfRule>
    <cfRule type="containsText" dxfId="174" priority="2424" operator="containsText" text="ENTREGADO">
      <formula>NOT(ISERROR(SEARCH("ENTREGADO",BD87)))</formula>
    </cfRule>
    <cfRule type="containsText" dxfId="173" priority="2429" operator="containsText" text="ENTREGADO">
      <formula>NOT(ISERROR(SEARCH("ENTREGADO",BD87)))</formula>
    </cfRule>
  </conditionalFormatting>
  <conditionalFormatting sqref="BD88:BG88">
    <cfRule type="containsText" dxfId="172" priority="2297" operator="containsText" text="PENDIENTE">
      <formula>NOT(ISERROR(SEARCH("PENDIENTE",#REF!)))</formula>
    </cfRule>
    <cfRule type="containsText" dxfId="171" priority="2295" operator="containsText" text="ENTREGADO">
      <formula>NOT(ISERROR(SEARCH("ENTREGADO",BD88)))</formula>
    </cfRule>
    <cfRule type="containsText" dxfId="170" priority="2296" operator="containsText" text="ENTREGADO">
      <formula>NOT(ISERROR(SEARCH("ENTREGADO",#REF!)))</formula>
    </cfRule>
    <cfRule type="containsText" dxfId="169" priority="2298" operator="containsText" text="PENDIENTE">
      <formula>NOT(ISERROR(SEARCH("PENDIENTE",BD88)))</formula>
    </cfRule>
    <cfRule type="containsText" dxfId="168" priority="2300" operator="containsText" text="ENTREGADO">
      <formula>NOT(ISERROR(SEARCH("ENTREGADO",BD88)))</formula>
    </cfRule>
  </conditionalFormatting>
  <conditionalFormatting sqref="BD89:BG89">
    <cfRule type="containsText" dxfId="167" priority="1914" operator="containsText" text="ENTREGADO">
      <formula>NOT(ISERROR(SEARCH("ENTREGADO",BD89)))</formula>
    </cfRule>
    <cfRule type="containsText" dxfId="166" priority="1915" operator="containsText" text="ENTREGADO">
      <formula>NOT(ISERROR(SEARCH("ENTREGADO",#REF!)))</formula>
    </cfRule>
    <cfRule type="containsText" dxfId="165" priority="1916" operator="containsText" text="PENDIENTE">
      <formula>NOT(ISERROR(SEARCH("PENDIENTE",#REF!)))</formula>
    </cfRule>
    <cfRule type="containsText" dxfId="164" priority="1917" operator="containsText" text="PENDIENTE">
      <formula>NOT(ISERROR(SEARCH("PENDIENTE",BD89)))</formula>
    </cfRule>
    <cfRule type="containsText" dxfId="163" priority="1919" operator="containsText" text="ENTREGADO">
      <formula>NOT(ISERROR(SEARCH("ENTREGADO",BD89)))</formula>
    </cfRule>
  </conditionalFormatting>
  <conditionalFormatting sqref="BD90:BG90">
    <cfRule type="containsText" dxfId="162" priority="1244" operator="containsText" text="ENTREGADO">
      <formula>NOT(ISERROR(SEARCH("ENTREGADO",BD90)))</formula>
    </cfRule>
    <cfRule type="containsText" dxfId="161" priority="1240" operator="containsText" text="ENTREGADO">
      <formula>NOT(ISERROR(SEARCH("ENTREGADO",#REF!)))</formula>
    </cfRule>
    <cfRule type="containsText" dxfId="160" priority="1242" operator="containsText" text="PENDIENTE">
      <formula>NOT(ISERROR(SEARCH("PENDIENTE",BD90)))</formula>
    </cfRule>
    <cfRule type="containsText" dxfId="159" priority="1241" operator="containsText" text="PENDIENTE">
      <formula>NOT(ISERROR(SEARCH("PENDIENTE",#REF!)))</formula>
    </cfRule>
    <cfRule type="containsText" dxfId="158" priority="1239" operator="containsText" text="ENTREGADO">
      <formula>NOT(ISERROR(SEARCH("ENTREGADO",BD90)))</formula>
    </cfRule>
  </conditionalFormatting>
  <conditionalFormatting sqref="BD91:BG91">
    <cfRule type="containsText" dxfId="157" priority="1062" operator="containsText" text="PENDIENTE">
      <formula>NOT(ISERROR(SEARCH("PENDIENTE",BD91)))</formula>
    </cfRule>
    <cfRule type="containsText" dxfId="156" priority="1064" operator="containsText" text="ENTREGADO">
      <formula>NOT(ISERROR(SEARCH("ENTREGADO",BD91)))</formula>
    </cfRule>
    <cfRule type="containsText" dxfId="155" priority="1060" operator="containsText" text="ENTREGADO">
      <formula>NOT(ISERROR(SEARCH("ENTREGADO",#REF!)))</formula>
    </cfRule>
    <cfRule type="containsText" dxfId="154" priority="1061" operator="containsText" text="PENDIENTE">
      <formula>NOT(ISERROR(SEARCH("PENDIENTE",#REF!)))</formula>
    </cfRule>
    <cfRule type="containsText" dxfId="153" priority="1059" operator="containsText" text="ENTREGADO">
      <formula>NOT(ISERROR(SEARCH("ENTREGADO",BD91)))</formula>
    </cfRule>
  </conditionalFormatting>
  <conditionalFormatting sqref="BD92:BG92">
    <cfRule type="containsText" dxfId="152" priority="920" operator="containsText" text="PENDIENTE">
      <formula>NOT(ISERROR(SEARCH("PENDIENTE",#REF!)))</formula>
    </cfRule>
    <cfRule type="containsText" dxfId="151" priority="921" operator="containsText" text="PENDIENTE">
      <formula>NOT(ISERROR(SEARCH("PENDIENTE",BD92)))</formula>
    </cfRule>
    <cfRule type="containsText" dxfId="150" priority="918" operator="containsText" text="ENTREGADO">
      <formula>NOT(ISERROR(SEARCH("ENTREGADO",BD92)))</formula>
    </cfRule>
    <cfRule type="containsText" dxfId="149" priority="923" operator="containsText" text="ENTREGADO">
      <formula>NOT(ISERROR(SEARCH("ENTREGADO",BD92)))</formula>
    </cfRule>
    <cfRule type="containsText" dxfId="148" priority="919" operator="containsText" text="ENTREGADO">
      <formula>NOT(ISERROR(SEARCH("ENTREGADO",#REF!)))</formula>
    </cfRule>
  </conditionalFormatting>
  <conditionalFormatting sqref="BD9:XFD9">
    <cfRule type="containsText" dxfId="147" priority="9559" operator="containsText" text="ENTREGADO">
      <formula>NOT(ISERROR(SEARCH("ENTREGADO",BD9)))</formula>
    </cfRule>
  </conditionalFormatting>
  <conditionalFormatting sqref="BD11:XFD11 T11:X11">
    <cfRule type="containsText" dxfId="146" priority="8106" operator="containsText" text="ENTREGADO">
      <formula>NOT(ISERROR(SEARCH("ENTREGADO",T11)))</formula>
    </cfRule>
  </conditionalFormatting>
  <conditionalFormatting sqref="BD11:XFD11">
    <cfRule type="containsText" dxfId="145" priority="8105" operator="containsText" text="ENTREGADO">
      <formula>NOT(ISERROR(SEARCH("ENTREGADO",BD11)))</formula>
    </cfRule>
  </conditionalFormatting>
  <conditionalFormatting sqref="BD13:XFD13">
    <cfRule type="containsText" dxfId="144" priority="8729" operator="containsText" text="ENTREGADO">
      <formula>NOT(ISERROR(SEARCH("ENTREGADO",BD13)))</formula>
    </cfRule>
  </conditionalFormatting>
  <conditionalFormatting sqref="BD15:XFD15">
    <cfRule type="containsText" dxfId="143" priority="8551" operator="containsText" text="ENTREGADO">
      <formula>NOT(ISERROR(SEARCH("ENTREGADO",BD15)))</formula>
    </cfRule>
  </conditionalFormatting>
  <conditionalFormatting sqref="BD17:XFD17 T17:X17">
    <cfRule type="containsText" dxfId="142" priority="8373" operator="containsText" text="ENTREGADO">
      <formula>NOT(ISERROR(SEARCH("ENTREGADO",T17)))</formula>
    </cfRule>
  </conditionalFormatting>
  <conditionalFormatting sqref="BD17:XFD17">
    <cfRule type="containsText" dxfId="141" priority="8372" operator="containsText" text="ENTREGADO">
      <formula>NOT(ISERROR(SEARCH("ENTREGADO",BD17)))</formula>
    </cfRule>
  </conditionalFormatting>
  <conditionalFormatting sqref="BD39:XFD39 C39:D39">
    <cfRule type="containsText" dxfId="140" priority="4280" operator="containsText" text="PENDIENTE">
      <formula>NOT(ISERROR(SEARCH("PENDIENTE",C39)))</formula>
    </cfRule>
  </conditionalFormatting>
  <conditionalFormatting sqref="BH3:XFD4 T4 V4:X4 AD4:AF4 AH4:AI4 BB4:BC4">
    <cfRule type="containsText" dxfId="139" priority="18839" operator="containsText" text="ENTREGADO">
      <formula>NOT(ISERROR(SEARCH("ENTREGADO",T3)))</formula>
    </cfRule>
  </conditionalFormatting>
  <conditionalFormatting sqref="BH5:XFD7 T6:X6 E6:E7 G6:I6 C7 T7 AX7:BC7 A19 G19:H19 T19 AX19:BC19 BH19:XFD19 G7:H7">
    <cfRule type="containsText" dxfId="138" priority="14465" operator="containsText" text="ENTREGADO">
      <formula>NOT(ISERROR(SEARCH("ENTREGADO",A5)))</formula>
    </cfRule>
  </conditionalFormatting>
  <conditionalFormatting sqref="BH6:XFD8 P7:P8 A8 G8:H8 K8:N8 T8:X8">
    <cfRule type="containsText" dxfId="137" priority="13658" operator="containsText" text="ENTREGADO">
      <formula>NOT(ISERROR(SEARCH("ENTREGADO",A6)))</formula>
    </cfRule>
  </conditionalFormatting>
  <conditionalFormatting sqref="BH8:XFD9 A9 G9 K9 M9:N9 P9 T9:X9">
    <cfRule type="containsText" dxfId="136" priority="9575" operator="containsText" text="ENTREGADO">
      <formula>NOT(ISERROR(SEARCH("ENTREGADO",A8)))</formula>
    </cfRule>
  </conditionalFormatting>
  <conditionalFormatting sqref="BH27:XFD27 BC27 T27 V27:X27">
    <cfRule type="containsText" dxfId="135" priority="12310" operator="containsText" text="PENDIENTE">
      <formula>NOT(ISERROR(SEARCH("PENDIENTE",T27)))</formula>
    </cfRule>
  </conditionalFormatting>
  <conditionalFormatting sqref="BH27:XFD27">
    <cfRule type="containsText" dxfId="134" priority="12309" operator="containsText" text="ENTREGADO">
      <formula>NOT(ISERROR(SEARCH("ENTREGADO",BH27)))</formula>
    </cfRule>
  </conditionalFormatting>
  <conditionalFormatting sqref="BH28:XFD29 T29:X29 BC29">
    <cfRule type="containsText" dxfId="133" priority="20634" operator="containsText" text="PENDIENTE">
      <formula>NOT(ISERROR(SEARCH("PENDIENTE",T28)))</formula>
    </cfRule>
  </conditionalFormatting>
  <conditionalFormatting sqref="BH29:XFD30 T30 V30:X30 BC30">
    <cfRule type="containsText" dxfId="132" priority="19049" operator="containsText" text="PENDIENTE">
      <formula>NOT(ISERROR(SEARCH("PENDIENTE",T29)))</formula>
    </cfRule>
  </conditionalFormatting>
  <conditionalFormatting sqref="BH33:XFD33">
    <cfRule type="containsText" dxfId="131" priority="5906" operator="containsText" text="ENTREGADO">
      <formula>NOT(ISERROR(SEARCH("ENTREGADO",BH33)))</formula>
    </cfRule>
  </conditionalFormatting>
  <conditionalFormatting sqref="BH34:XFD35 T35 V35:X35 AD35:AG35 AI35:AL35 AN35:AO35 AR35:BA35 BC35 A35">
    <cfRule type="containsText" dxfId="130" priority="17297" operator="containsText" text="PENDIENTE">
      <formula>NOT(ISERROR(SEARCH("PENDIENTE",A34)))</formula>
    </cfRule>
  </conditionalFormatting>
  <conditionalFormatting sqref="BH38:XFD38 T40:X40 BC40 BH40:XFD40">
    <cfRule type="containsText" dxfId="129" priority="7285" operator="containsText" text="ENTREGADO">
      <formula>NOT(ISERROR(SEARCH("ENTREGADO",T38)))</formula>
    </cfRule>
  </conditionalFormatting>
  <conditionalFormatting sqref="BH39:XFD39 BC39 T39 V39:X39">
    <cfRule type="containsText" dxfId="128" priority="4230" operator="containsText" text="PENDIENTE">
      <formula>NOT(ISERROR(SEARCH("PENDIENTE",T39)))</formula>
    </cfRule>
  </conditionalFormatting>
  <conditionalFormatting sqref="BH39:XFD39">
    <cfRule type="containsText" dxfId="127" priority="4229" operator="containsText" text="ENTREGADO">
      <formula>NOT(ISERROR(SEARCH("ENTREGADO",BH39)))</formula>
    </cfRule>
  </conditionalFormatting>
  <conditionalFormatting sqref="BH40:XFD40 T40:X40">
    <cfRule type="containsText" dxfId="126" priority="7247" operator="containsText" text="ENTREGADO">
      <formula>NOT(ISERROR(SEARCH("ENTREGADO",T40)))</formula>
    </cfRule>
  </conditionalFormatting>
  <conditionalFormatting sqref="BH41:XFD41">
    <cfRule type="containsText" dxfId="125" priority="3780" operator="containsText" text="PENDIENTE">
      <formula>NOT(ISERROR(SEARCH("PENDIENTE",BH41)))</formula>
    </cfRule>
  </conditionalFormatting>
  <conditionalFormatting sqref="BH46:XFD49 BC46:BC49">
    <cfRule type="containsText" dxfId="124" priority="4379" operator="containsText" text="ENTREGADO">
      <formula>NOT(ISERROR(SEARCH("ENTREGADO",#REF!)))</formula>
    </cfRule>
  </conditionalFormatting>
  <conditionalFormatting sqref="BH52:XFD53">
    <cfRule type="containsText" dxfId="123" priority="11112" operator="containsText" text="ENTREGADO">
      <formula>NOT(ISERROR(SEARCH("ENTREGADO",BH52)))</formula>
    </cfRule>
  </conditionalFormatting>
  <conditionalFormatting sqref="BH55:XFD55">
    <cfRule type="containsText" dxfId="122" priority="624" operator="containsText" text="ENTREGADO">
      <formula>NOT(ISERROR(SEARCH("ENTREGADO",BH55)))</formula>
    </cfRule>
  </conditionalFormatting>
  <conditionalFormatting sqref="BH56:XFD56">
    <cfRule type="containsText" dxfId="121" priority="6992" operator="containsText" text="ENTREGADO">
      <formula>NOT(ISERROR(SEARCH("ENTREGADO",BH56)))</formula>
    </cfRule>
  </conditionalFormatting>
  <conditionalFormatting sqref="BH56:XFD61">
    <cfRule type="containsText" dxfId="120" priority="3491" operator="containsText" text="PRIORIDAD">
      <formula>NOT(ISERROR(SEARCH("PRIORIDAD",BH56)))</formula>
    </cfRule>
  </conditionalFormatting>
  <conditionalFormatting sqref="BH74:XFD74">
    <cfRule type="containsText" dxfId="119" priority="6488" operator="containsText" text="ENTREGADO">
      <formula>NOT(ISERROR(SEARCH("ENTREGADO",BH74)))</formula>
    </cfRule>
  </conditionalFormatting>
  <conditionalFormatting sqref="BH77:XFD77">
    <cfRule type="containsText" dxfId="118" priority="2086" operator="containsText" text="PENDIENTE">
      <formula>NOT(ISERROR(SEARCH("PENDIENTE",BH77)))</formula>
    </cfRule>
  </conditionalFormatting>
  <conditionalFormatting sqref="BH78:XFD78">
    <cfRule type="containsText" dxfId="117" priority="1603" operator="containsText" text="PRIORIDAD">
      <formula>NOT(ISERROR(SEARCH("PRIORIDAD",BH78)))</formula>
    </cfRule>
  </conditionalFormatting>
  <conditionalFormatting sqref="BH82:XFD82 BC82 AR82:BA82 AN82:AO82 AI82:AL82 AD82 V82:X82 T82 AG82">
    <cfRule type="containsText" dxfId="116" priority="1383" operator="containsText" text="ENTREGADO">
      <formula>NOT(ISERROR(SEARCH("ENTREGADO",T82)))</formula>
    </cfRule>
  </conditionalFormatting>
  <conditionalFormatting sqref="R35">
    <cfRule type="containsText" dxfId="115" priority="114" operator="containsText" text="PENDIENTE">
      <formula>NOT(ISERROR(SEARCH("PENDIENTE",R35)))</formula>
    </cfRule>
    <cfRule type="containsText" dxfId="114" priority="115" operator="containsText" text="ENTREGADO">
      <formula>NOT(ISERROR(SEARCH("ENTREGADO",R35)))</formula>
    </cfRule>
    <cfRule type="containsText" dxfId="113" priority="116" operator="containsText" text="ENTREGADO">
      <formula>NOT(ISERROR(SEARCH("ENTREGADO",R35)))</formula>
    </cfRule>
  </conditionalFormatting>
  <conditionalFormatting sqref="R35">
    <cfRule type="containsText" dxfId="112" priority="113" operator="containsText" text="ENTREGADO">
      <formula>NOT(ISERROR(SEARCH("ENTREGADO",R35)))</formula>
    </cfRule>
  </conditionalFormatting>
  <conditionalFormatting sqref="Q35:Q36">
    <cfRule type="containsText" dxfId="111" priority="108" operator="containsText" text="PRIORIDAD">
      <formula>NOT(ISERROR(SEARCH("PRIORIDAD",Q35)))</formula>
    </cfRule>
  </conditionalFormatting>
  <conditionalFormatting sqref="Q35:Q36">
    <cfRule type="containsText" dxfId="110" priority="111" operator="containsText" text="PRIORIDAD">
      <formula>NOT(ISERROR(SEARCH("PRIORIDAD",Q35)))</formula>
    </cfRule>
  </conditionalFormatting>
  <conditionalFormatting sqref="Q35:Q36">
    <cfRule type="containsText" dxfId="109" priority="97" operator="containsText" text="PRIORIDAD">
      <formula>NOT(ISERROR(SEARCH("PRIORIDAD",Q35)))</formula>
    </cfRule>
    <cfRule type="containsText" dxfId="108" priority="98" operator="containsText" text="ENTREGADO">
      <formula>NOT(ISERROR(SEARCH("ENTREGADO",Q35)))</formula>
    </cfRule>
    <cfRule type="containsText" dxfId="107" priority="99" operator="containsText" text="PRIORIDAD">
      <formula>NOT(ISERROR(SEARCH("PRIORIDAD",Q35)))</formula>
    </cfRule>
    <cfRule type="containsText" dxfId="106" priority="100" operator="containsText" text="ENTREGADO">
      <formula>NOT(ISERROR(SEARCH("ENTREGADO",Q35)))</formula>
    </cfRule>
    <cfRule type="containsText" dxfId="105" priority="101" operator="containsText" text="PRIORIDAD">
      <formula>NOT(ISERROR(SEARCH("PRIORIDAD",Q35)))</formula>
    </cfRule>
    <cfRule type="containsText" dxfId="104" priority="102" operator="containsText" text="ENTREGADO">
      <formula>NOT(ISERROR(SEARCH("ENTREGADO",Q35)))</formula>
    </cfRule>
    <cfRule type="containsText" dxfId="103" priority="103" operator="containsText" text="PENDIENTE">
      <formula>NOT(ISERROR(SEARCH("PENDIENTE",Q35)))</formula>
    </cfRule>
    <cfRule type="containsText" dxfId="102" priority="104" operator="containsText" text="PRIORIDAD">
      <formula>NOT(ISERROR(SEARCH("PRIORIDAD",Q35)))</formula>
    </cfRule>
    <cfRule type="containsText" dxfId="101" priority="105" operator="containsText" text="ENTREGADO">
      <formula>NOT(ISERROR(SEARCH("ENTREGADO",Q35)))</formula>
    </cfRule>
    <cfRule type="containsText" dxfId="100" priority="106" operator="containsText" text="PRIORIDAD">
      <formula>NOT(ISERROR(SEARCH("PRIORIDAD",Q35)))</formula>
    </cfRule>
    <cfRule type="containsText" dxfId="99" priority="107" operator="containsText" text="ENTREGADO">
      <formula>NOT(ISERROR(SEARCH("ENTREGADO",Q35)))</formula>
    </cfRule>
    <cfRule type="containsText" dxfId="98" priority="109" operator="containsText" text="ENTREGADO">
      <formula>NOT(ISERROR(SEARCH("ENTREGADO",Q35)))</formula>
    </cfRule>
    <cfRule type="containsText" dxfId="97" priority="110" operator="containsText" text="PENDIENTE">
      <formula>NOT(ISERROR(SEARCH("PENDIENTE",Q35)))</formula>
    </cfRule>
    <cfRule type="containsText" dxfId="96" priority="112" operator="containsText" text="ENTREGADO">
      <formula>NOT(ISERROR(SEARCH("ENTREGADO",Q35)))</formula>
    </cfRule>
  </conditionalFormatting>
  <conditionalFormatting sqref="E35:E36">
    <cfRule type="containsText" dxfId="95" priority="90" operator="containsText" text="PENDIENTE">
      <formula>NOT(ISERROR(SEARCH("PENDIENTE",#REF!)))</formula>
    </cfRule>
  </conditionalFormatting>
  <conditionalFormatting sqref="E35:E36">
    <cfRule type="containsText" dxfId="94" priority="95" operator="containsText" text="PRIORIDAD">
      <formula>NOT(ISERROR(SEARCH("PRIORIDAD",E35)))</formula>
    </cfRule>
  </conditionalFormatting>
  <conditionalFormatting sqref="E35:E36">
    <cfRule type="containsText" dxfId="93" priority="91" operator="containsText" text="PENDIENTE">
      <formula>NOT(ISERROR(SEARCH("PENDIENTE",E35)))</formula>
    </cfRule>
    <cfRule type="containsText" dxfId="92" priority="92" operator="containsText" text="ENTREGADO">
      <formula>NOT(ISERROR(SEARCH("ENTREGADO",E35)))</formula>
    </cfRule>
    <cfRule type="containsText" dxfId="91" priority="93" operator="containsText" text="ENTREGADO">
      <formula>NOT(ISERROR(SEARCH("ENTREGADO",E35)))</formula>
    </cfRule>
  </conditionalFormatting>
  <conditionalFormatting sqref="E35:E36">
    <cfRule type="containsText" dxfId="90" priority="94" operator="containsText" text="PENDIENTE">
      <formula>NOT(ISERROR(SEARCH("PENDIENTE",E35)))</formula>
    </cfRule>
  </conditionalFormatting>
  <conditionalFormatting sqref="E35:E36">
    <cfRule type="containsText" dxfId="89" priority="89" operator="containsText" text="ENTREGADO">
      <formula>NOT(ISERROR(SEARCH("ENTREGADO",#REF!)))</formula>
    </cfRule>
  </conditionalFormatting>
  <conditionalFormatting sqref="E35:E36">
    <cfRule type="containsText" dxfId="88" priority="96" operator="containsText" text="ENTREGADO">
      <formula>NOT(ISERROR(SEARCH("ENTREGADO",E35)))</formula>
    </cfRule>
  </conditionalFormatting>
  <conditionalFormatting sqref="S38">
    <cfRule type="containsText" dxfId="87" priority="80" operator="containsText" text="ACCEL">
      <formula>NOT(ISERROR(SEARCH("ACCEL",S38)))</formula>
    </cfRule>
    <cfRule type="containsText" dxfId="86" priority="81" operator="containsText" text="TOLUCA">
      <formula>NOT(ISERROR(SEARCH("TOLUCA",S38)))</formula>
    </cfRule>
    <cfRule type="containsText" dxfId="85" priority="82" operator="containsText" text="DRAGON">
      <formula>NOT(ISERROR(SEARCH("DRAGON",S38)))</formula>
    </cfRule>
    <cfRule type="containsText" dxfId="84" priority="83" operator="containsText" text="AIFA">
      <formula>NOT(ISERROR(SEARCH("AIFA",S38)))</formula>
    </cfRule>
    <cfRule type="containsText" dxfId="83" priority="84" operator="containsText" text="AICM">
      <formula>NOT(ISERROR(SEARCH("AICM",S38)))</formula>
    </cfRule>
    <cfRule type="containsText" dxfId="82" priority="85" operator="containsText" text="LAREDO">
      <formula>NOT(ISERROR(SEARCH("LAREDO",S38)))</formula>
    </cfRule>
    <cfRule type="containsText" dxfId="81" priority="86" operator="containsText" text="TOLUCA">
      <formula>NOT(ISERROR(SEARCH("TOLUCA",S38)))</formula>
    </cfRule>
    <cfRule type="containsText" dxfId="80" priority="87" operator="containsText" text="MANZANILLO">
      <formula>NOT(ISERROR(SEARCH("MANZANILLO",S38)))</formula>
    </cfRule>
    <cfRule type="containsText" dxfId="79" priority="88" operator="containsText" text="VERACRUZ">
      <formula>NOT(ISERROR(SEARCH("VERACRUZ",S38)))</formula>
    </cfRule>
  </conditionalFormatting>
  <conditionalFormatting sqref="Q52">
    <cfRule type="containsText" dxfId="78" priority="77" operator="containsText" text="PRIORIDAD">
      <formula>NOT(ISERROR(SEARCH("PRIORIDAD",Q52)))</formula>
    </cfRule>
    <cfRule type="containsText" dxfId="77" priority="78" operator="containsText" text="ENTREGADO">
      <formula>NOT(ISERROR(SEARCH("ENTREGADO",Q52)))</formula>
    </cfRule>
    <cfRule type="containsText" dxfId="76" priority="79" operator="containsText" text="PENDIENTE">
      <formula>NOT(ISERROR(SEARCH("PENDIENTE",Q52)))</formula>
    </cfRule>
  </conditionalFormatting>
  <conditionalFormatting sqref="Q52">
    <cfRule type="containsText" dxfId="75" priority="74" operator="containsText" text="PRIORIDAD">
      <formula>NOT(ISERROR(SEARCH("PRIORIDAD",Q52)))</formula>
    </cfRule>
    <cfRule type="containsText" dxfId="74" priority="75" operator="containsText" text="ENTREGADO">
      <formula>NOT(ISERROR(SEARCH("ENTREGADO",Q52)))</formula>
    </cfRule>
    <cfRule type="containsText" dxfId="73" priority="76" operator="containsText" text="ENTREGADO">
      <formula>NOT(ISERROR(SEARCH("ENTREGADO",Q52)))</formula>
    </cfRule>
  </conditionalFormatting>
  <conditionalFormatting sqref="Q58">
    <cfRule type="containsText" dxfId="72" priority="72" operator="containsText" text="ENTREGADO">
      <formula>NOT(ISERROR(SEARCH("ENTREGADO",Q58)))</formula>
    </cfRule>
  </conditionalFormatting>
  <conditionalFormatting sqref="Q58">
    <cfRule type="containsText" dxfId="71" priority="73" operator="containsText" text="PENDIENTE">
      <formula>NOT(ISERROR(SEARCH("PENDIENTE",Q58)))</formula>
    </cfRule>
  </conditionalFormatting>
  <conditionalFormatting sqref="Q58">
    <cfRule type="containsText" dxfId="70" priority="57" operator="containsText" text="PRIORIDAD">
      <formula>NOT(ISERROR(SEARCH("PRIORIDAD",Q58)))</formula>
    </cfRule>
    <cfRule type="containsText" dxfId="69" priority="58" operator="containsText" text="ENTREGADO">
      <formula>NOT(ISERROR(SEARCH("ENTREGADO",Q58)))</formula>
    </cfRule>
    <cfRule type="containsText" dxfId="68" priority="59" operator="containsText" text="PRIORIDAD">
      <formula>NOT(ISERROR(SEARCH("PRIORIDAD",Q58)))</formula>
    </cfRule>
    <cfRule type="containsText" dxfId="67" priority="60" operator="containsText" text="ENTREGADO">
      <formula>NOT(ISERROR(SEARCH("ENTREGADO",Q58)))</formula>
    </cfRule>
    <cfRule type="containsText" dxfId="66" priority="61" operator="containsText" text="PRIORIDAD">
      <formula>NOT(ISERROR(SEARCH("PRIORIDAD",Q58)))</formula>
    </cfRule>
    <cfRule type="containsText" dxfId="65" priority="62" operator="containsText" text="ENTREGADO">
      <formula>NOT(ISERROR(SEARCH("ENTREGADO",Q58)))</formula>
    </cfRule>
    <cfRule type="containsText" dxfId="64" priority="63" operator="containsText" text="PENDIENTE">
      <formula>NOT(ISERROR(SEARCH("PENDIENTE",Q58)))</formula>
    </cfRule>
    <cfRule type="containsText" dxfId="63" priority="64" operator="containsText" text="PRIORIDAD">
      <formula>NOT(ISERROR(SEARCH("PRIORIDAD",Q58)))</formula>
    </cfRule>
    <cfRule type="containsText" dxfId="62" priority="65" operator="containsText" text="ENTREGADO">
      <formula>NOT(ISERROR(SEARCH("ENTREGADO",Q58)))</formula>
    </cfRule>
    <cfRule type="containsText" dxfId="61" priority="66" operator="containsText" text="PRIORIDAD">
      <formula>NOT(ISERROR(SEARCH("PRIORIDAD",Q58)))</formula>
    </cfRule>
    <cfRule type="containsText" dxfId="60" priority="67" operator="containsText" text="ENTREGADO">
      <formula>NOT(ISERROR(SEARCH("ENTREGADO",Q58)))</formula>
    </cfRule>
    <cfRule type="containsText" dxfId="59" priority="68" operator="containsText" text="PRIORIDAD">
      <formula>NOT(ISERROR(SEARCH("PRIORIDAD",Q58)))</formula>
    </cfRule>
    <cfRule type="containsText" dxfId="58" priority="69" operator="containsText" text="ENTREGADO">
      <formula>NOT(ISERROR(SEARCH("ENTREGADO",Q58)))</formula>
    </cfRule>
    <cfRule type="containsText" dxfId="57" priority="70" operator="containsText" text="PENDIENTE">
      <formula>NOT(ISERROR(SEARCH("PENDIENTE",Q58)))</formula>
    </cfRule>
    <cfRule type="containsText" dxfId="56" priority="71" operator="containsText" text="ENTREGADO">
      <formula>NOT(ISERROR(SEARCH("ENTREGADO",Q58)))</formula>
    </cfRule>
  </conditionalFormatting>
  <conditionalFormatting sqref="P59">
    <cfRule type="containsText" dxfId="55" priority="53" operator="containsText" text="PENDIENTE">
      <formula>NOT(ISERROR(SEARCH("PENDIENTE",P59)))</formula>
    </cfRule>
  </conditionalFormatting>
  <conditionalFormatting sqref="P59">
    <cfRule type="containsText" dxfId="54" priority="52" operator="containsText" text="ENTREGADO">
      <formula>NOT(ISERROR(SEARCH("ENTREGADO",P59)))</formula>
    </cfRule>
    <cfRule type="containsText" dxfId="53" priority="54" operator="containsText" text="ENTREGADO">
      <formula>NOT(ISERROR(SEARCH("ENTREGADO",P59)))</formula>
    </cfRule>
    <cfRule type="containsText" dxfId="52" priority="55" operator="containsText" text="ENTREGADO">
      <formula>NOT(ISERROR(SEARCH("ENTREGADO",P59)))</formula>
    </cfRule>
    <cfRule type="containsText" dxfId="51" priority="56" operator="containsText" text="ENTREGADO">
      <formula>NOT(ISERROR(SEARCH("ENTREGADO",P59)))</formula>
    </cfRule>
  </conditionalFormatting>
  <conditionalFormatting sqref="P59">
    <cfRule type="containsText" dxfId="50" priority="51" operator="containsText" text="PRIORIDAD">
      <formula>NOT(ISERROR(SEARCH("PRIORIDAD",P59)))</formula>
    </cfRule>
  </conditionalFormatting>
  <conditionalFormatting sqref="Q60">
    <cfRule type="containsText" dxfId="49" priority="30" operator="containsText" text="PRIORIDAD">
      <formula>NOT(ISERROR(SEARCH("PRIORIDAD",Q60)))</formula>
    </cfRule>
    <cfRule type="containsText" dxfId="48" priority="31" operator="containsText" text="ENTREGADO">
      <formula>NOT(ISERROR(SEARCH("ENTREGADO",Q60)))</formula>
    </cfRule>
    <cfRule type="containsText" dxfId="47" priority="32" operator="containsText" text="PRIORIDAD">
      <formula>NOT(ISERROR(SEARCH("PRIORIDAD",Q60)))</formula>
    </cfRule>
    <cfRule type="containsText" dxfId="46" priority="33" operator="containsText" text="ENTREGADO">
      <formula>NOT(ISERROR(SEARCH("ENTREGADO",Q60)))</formula>
    </cfRule>
    <cfRule type="containsText" dxfId="45" priority="34" operator="containsText" text="PRIORIDAD">
      <formula>NOT(ISERROR(SEARCH("PRIORIDAD",Q60)))</formula>
    </cfRule>
    <cfRule type="containsText" dxfId="44" priority="35" operator="containsText" text="ENTREGADO">
      <formula>NOT(ISERROR(SEARCH("ENTREGADO",Q60)))</formula>
    </cfRule>
    <cfRule type="containsText" dxfId="43" priority="36" operator="containsText" text="PENDIENTE">
      <formula>NOT(ISERROR(SEARCH("PENDIENTE",Q60)))</formula>
    </cfRule>
    <cfRule type="containsText" dxfId="42" priority="37" operator="containsText" text="PRIORIDAD">
      <formula>NOT(ISERROR(SEARCH("PRIORIDAD",Q60)))</formula>
    </cfRule>
    <cfRule type="containsText" dxfId="41" priority="38" operator="containsText" text="ENTREGADO">
      <formula>NOT(ISERROR(SEARCH("ENTREGADO",Q60)))</formula>
    </cfRule>
    <cfRule type="containsText" dxfId="40" priority="39" operator="containsText" text="PRIORIDAD">
      <formula>NOT(ISERROR(SEARCH("PRIORIDAD",Q60)))</formula>
    </cfRule>
    <cfRule type="containsText" dxfId="39" priority="40" operator="containsText" text="ENTREGADO">
      <formula>NOT(ISERROR(SEARCH("ENTREGADO",Q60)))</formula>
    </cfRule>
    <cfRule type="containsText" dxfId="38" priority="41" operator="containsText" text="PRIORIDAD">
      <formula>NOT(ISERROR(SEARCH("PRIORIDAD",Q60)))</formula>
    </cfRule>
    <cfRule type="containsText" dxfId="37" priority="42" operator="containsText" text="ENTREGADO">
      <formula>NOT(ISERROR(SEARCH("ENTREGADO",Q60)))</formula>
    </cfRule>
    <cfRule type="containsText" dxfId="36" priority="43" operator="containsText" text="PENDIENTE">
      <formula>NOT(ISERROR(SEARCH("PENDIENTE",Q60)))</formula>
    </cfRule>
    <cfRule type="containsText" dxfId="35" priority="44" operator="containsText" text="ENTREGADO">
      <formula>NOT(ISERROR(SEARCH("ENTREGADO",Q60)))</formula>
    </cfRule>
    <cfRule type="containsText" dxfId="34" priority="45" operator="containsText" text="ENTREGADO">
      <formula>NOT(ISERROR(SEARCH("ENTREGADO",Q60)))</formula>
    </cfRule>
    <cfRule type="containsText" dxfId="33" priority="46" operator="containsText" text="PENDIENTE">
      <formula>NOT(ISERROR(SEARCH("PENDIENTE",Q60)))</formula>
    </cfRule>
    <cfRule type="containsText" dxfId="32" priority="47" operator="containsText" text="PRIORIDAD">
      <formula>NOT(ISERROR(SEARCH("PRIORIDAD",Q60)))</formula>
    </cfRule>
    <cfRule type="containsText" dxfId="31" priority="48" operator="containsText" text="ENTREGADO">
      <formula>NOT(ISERROR(SEARCH("ENTREGADO",Q60)))</formula>
    </cfRule>
    <cfRule type="containsText" dxfId="30" priority="49" operator="containsText" text="PENDIENTE">
      <formula>NOT(ISERROR(SEARCH("PENDIENTE",Q60)))</formula>
    </cfRule>
    <cfRule type="containsText" dxfId="29" priority="50" operator="containsText" text="PRIORIDAD">
      <formula>NOT(ISERROR(SEARCH("PRIORIDAD",Q60)))</formula>
    </cfRule>
  </conditionalFormatting>
  <conditionalFormatting sqref="Z58">
    <cfRule type="containsText" dxfId="28" priority="28" operator="containsText" text="ENTREGADO">
      <formula>NOT(ISERROR(SEARCH("ENTREGADO",Z58)))</formula>
    </cfRule>
    <cfRule type="containsText" dxfId="27" priority="29" operator="containsText" text="PENDIENTE">
      <formula>NOT(ISERROR(SEARCH("PENDIENTE",Z58)))</formula>
    </cfRule>
  </conditionalFormatting>
  <conditionalFormatting sqref="Z58">
    <cfRule type="containsText" dxfId="26" priority="26" operator="containsText" text="PRIORIDAD">
      <formula>NOT(ISERROR(SEARCH("PRIORIDAD",Z58)))</formula>
    </cfRule>
  </conditionalFormatting>
  <conditionalFormatting sqref="Z58">
    <cfRule type="containsText" dxfId="25" priority="8" operator="containsText" text="ENTREGADO">
      <formula>NOT(ISERROR(SEARCH("ENTREGADO",Z58)))</formula>
    </cfRule>
    <cfRule type="containsText" dxfId="24" priority="9" operator="containsText" text="ENTREGADO">
      <formula>NOT(ISERROR(SEARCH("ENTREGADO",Z58)))</formula>
    </cfRule>
    <cfRule type="containsText" dxfId="23" priority="10" operator="containsText" text="PENDIENTE">
      <formula>NOT(ISERROR(SEARCH("PENDIENTE",Z58)))</formula>
    </cfRule>
    <cfRule type="containsText" dxfId="22" priority="11" operator="containsText" text="ENTREGADO">
      <formula>NOT(ISERROR(SEARCH("ENTREGADO",Z58)))</formula>
    </cfRule>
    <cfRule type="containsText" dxfId="21" priority="12" operator="containsText" text="PENDIENTE">
      <formula>NOT(ISERROR(SEARCH("PENDIENTE",#REF!)))</formula>
    </cfRule>
    <cfRule type="containsText" dxfId="20" priority="13" operator="containsText" text="ENTREGADO">
      <formula>NOT(ISERROR(SEARCH("ENTREGADO",#REF!)))</formula>
    </cfRule>
    <cfRule type="containsText" dxfId="19" priority="14" operator="containsText" text="PENDIENTE">
      <formula>NOT(ISERROR(SEARCH("PENDIENTE",#REF!)))</formula>
    </cfRule>
    <cfRule type="containsText" dxfId="18" priority="15" operator="containsText" text="ENTREGADO">
      <formula>NOT(ISERROR(SEARCH("ENTREGADO",#REF!)))</formula>
    </cfRule>
    <cfRule type="containsText" dxfId="17" priority="16" operator="containsText" text="PENDIENTE">
      <formula>NOT(ISERROR(SEARCH("PENDIENTE",#REF!)))</formula>
    </cfRule>
    <cfRule type="containsText" dxfId="16" priority="17" operator="containsText" text="ENTREGADO">
      <formula>NOT(ISERROR(SEARCH("ENTREGADO",#REF!)))</formula>
    </cfRule>
    <cfRule type="containsText" dxfId="15" priority="18" operator="containsText" text="ENTREGADO">
      <formula>NOT(ISERROR(SEARCH("ENTREGADO",#REF!)))</formula>
    </cfRule>
    <cfRule type="containsText" dxfId="14" priority="19" operator="containsText" text="ENTREGADO">
      <formula>NOT(ISERROR(SEARCH("ENTREGADO",Z58)))</formula>
    </cfRule>
    <cfRule type="containsText" dxfId="13" priority="20" operator="containsText" text="PENDIENTE">
      <formula>NOT(ISERROR(SEARCH("PENDIENTE",Z58)))</formula>
    </cfRule>
    <cfRule type="containsText" dxfId="12" priority="21" operator="containsText" text="ENTREGADO">
      <formula>NOT(ISERROR(SEARCH("ENTREGADO",Z58)))</formula>
    </cfRule>
    <cfRule type="containsText" dxfId="11" priority="22" operator="containsText" text="PENDIENTE">
      <formula>NOT(ISERROR(SEARCH("PENDIENTE",Z58)))</formula>
    </cfRule>
    <cfRule type="containsText" dxfId="10" priority="23" operator="containsText" text="ENTREGADO">
      <formula>NOT(ISERROR(SEARCH("ENTREGADO",Z58)))</formula>
    </cfRule>
    <cfRule type="containsText" dxfId="9" priority="24" operator="containsText" text="PENDIENTE">
      <formula>NOT(ISERROR(SEARCH("PENDIENTE",#REF!)))</formula>
    </cfRule>
    <cfRule type="containsText" dxfId="8" priority="25" operator="containsText" text="PENDIENTE">
      <formula>NOT(ISERROR(SEARCH("PENDIENTE",Z58)))</formula>
    </cfRule>
    <cfRule type="containsText" dxfId="7" priority="27" operator="containsText" text="ENTREGADO">
      <formula>NOT(ISERROR(SEARCH("ENTREGADO",Z58)))</formula>
    </cfRule>
  </conditionalFormatting>
  <conditionalFormatting sqref="Y58">
    <cfRule type="containsText" dxfId="6" priority="6" operator="containsText" text="PRIORIDAD">
      <formula>NOT(ISERROR(SEARCH("PRIORIDAD",Y58)))</formula>
    </cfRule>
  </conditionalFormatting>
  <conditionalFormatting sqref="Y58">
    <cfRule type="containsText" dxfId="5" priority="1" operator="containsText" text="ENTREGADO">
      <formula>NOT(ISERROR(SEARCH("ENTREGADO",Y58)))</formula>
    </cfRule>
    <cfRule type="containsText" dxfId="4" priority="2" operator="containsText" text="ENTREGADO">
      <formula>NOT(ISERROR(SEARCH("ENTREGADO",Y58)))</formula>
    </cfRule>
    <cfRule type="containsText" dxfId="3" priority="3" operator="containsText" text="ENTREGADO">
      <formula>NOT(ISERROR(SEARCH("ENTREGADO",#REF!)))</formula>
    </cfRule>
    <cfRule type="containsText" dxfId="2" priority="4" operator="containsText" text="PENDIENTE">
      <formula>NOT(ISERROR(SEARCH("PENDIENTE",#REF!)))</formula>
    </cfRule>
    <cfRule type="containsText" dxfId="1" priority="5" operator="containsText" text="PENDIENTE">
      <formula>NOT(ISERROR(SEARCH("PENDIENTE",Y58)))</formula>
    </cfRule>
    <cfRule type="containsText" dxfId="0" priority="7" operator="containsText" text="ENTREGADO">
      <formula>NOT(ISERROR(SEARCH("ENTREGADO",Y58)))</formula>
    </cfRule>
  </conditionalFormatting>
  <pageMargins left="0.7" right="0.7" top="0.75" bottom="0.75" header="0.3" footer="0.3"/>
  <pageSetup scale="23" orientation="portrait" verticalDpi="0" r:id="rId1"/>
  <colBreaks count="2" manualBreakCount="2">
    <brk id="32" max="62" man="1"/>
    <brk id="59" max="1048575" man="1"/>
  </col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BASE!$F$2:$F$8</xm:f>
          </x14:formula1>
          <xm:sqref>T1</xm:sqref>
        </x14:dataValidation>
        <x14:dataValidation type="list" allowBlank="1" showInputMessage="1" showErrorMessage="1">
          <x14:formula1>
            <xm:f>BASE!$D$2:$D$4</xm:f>
          </x14:formula1>
          <xm:sqref>N3:N35 N79:N92 N77 N37:N57 N62:N74</xm:sqref>
        </x14:dataValidation>
        <x14:dataValidation type="list" allowBlank="1" showInputMessage="1" showErrorMessage="1">
          <x14:formula1>
            <xm:f>BASE!$G$2:$G$4</xm:f>
          </x14:formula1>
          <xm:sqref>AD3:AD17 AD19:AD92</xm:sqref>
        </x14:dataValidation>
        <x14:dataValidation type="list" allowBlank="1" showInputMessage="1" showErrorMessage="1">
          <x14:formula1>
            <xm:f>BASE!$C$2:$C$8</xm:f>
          </x14:formula1>
          <xm:sqref>C3:C92</xm:sqref>
        </x14:dataValidation>
        <x14:dataValidation type="list" allowBlank="1" showInputMessage="1" showErrorMessage="1">
          <x14:formula1>
            <xm:f>BASE!$B$2:$B$8</xm:f>
          </x14:formula1>
          <xm:sqref>D3:D92</xm:sqref>
        </x14:dataValidation>
        <x14:dataValidation type="list" allowBlank="1" showInputMessage="1" showErrorMessage="1">
          <x14:formula1>
            <xm:f>BASE!$A$2:$A$13</xm:f>
          </x14:formula1>
          <xm:sqref>B3:B92</xm:sqref>
        </x14:dataValidation>
        <x14:dataValidation type="list" allowBlank="1" showInputMessage="1" showErrorMessage="1">
          <x14:formula1>
            <xm:f>BASE!$E$2:$E$17</xm:f>
          </x14:formula1>
          <xm:sqref>Q3:Q92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5"/>
  <sheetViews>
    <sheetView view="pageBreakPreview" zoomScaleNormal="100" zoomScaleSheetLayoutView="100" workbookViewId="0">
      <selection activeCell="D15" sqref="D15"/>
    </sheetView>
  </sheetViews>
  <sheetFormatPr baseColWidth="10" defaultRowHeight="15" x14ac:dyDescent="0.25"/>
  <cols>
    <col min="1" max="1" width="23.140625" style="35" customWidth="1"/>
    <col min="2" max="2" width="19.5703125" bestFit="1" customWidth="1"/>
    <col min="4" max="4" width="10.85546875" style="41"/>
    <col min="5" max="5" width="23.140625" style="3" bestFit="1" customWidth="1"/>
    <col min="7" max="7" width="23.140625" bestFit="1" customWidth="1"/>
    <col min="8" max="8" width="11.5703125" style="35" bestFit="1" customWidth="1"/>
    <col min="9" max="9" width="11.85546875" customWidth="1"/>
  </cols>
  <sheetData>
    <row r="2" spans="1:9" ht="15.75" thickBot="1" x14ac:dyDescent="0.3"/>
    <row r="3" spans="1:9" ht="15.75" thickBot="1" x14ac:dyDescent="0.3">
      <c r="A3" s="62" t="s">
        <v>135</v>
      </c>
      <c r="B3" s="63" t="s">
        <v>321</v>
      </c>
      <c r="C3" s="63"/>
      <c r="D3" s="64"/>
      <c r="E3" s="65" t="s">
        <v>151</v>
      </c>
      <c r="F3" s="63" t="s">
        <v>153</v>
      </c>
      <c r="G3" s="63"/>
      <c r="H3" s="83"/>
      <c r="I3" s="153" t="s">
        <v>324</v>
      </c>
    </row>
    <row r="4" spans="1:9" ht="15.75" thickBot="1" x14ac:dyDescent="0.3">
      <c r="A4" s="70" t="s">
        <v>131</v>
      </c>
      <c r="B4" s="71" t="s">
        <v>132</v>
      </c>
      <c r="C4" s="71"/>
      <c r="D4" s="72"/>
      <c r="E4" s="73"/>
      <c r="F4" s="297" t="s">
        <v>226</v>
      </c>
      <c r="G4" s="297"/>
      <c r="H4" s="84">
        <v>10800</v>
      </c>
      <c r="I4" s="154">
        <f>H4-A10</f>
        <v>7059.9699999999993</v>
      </c>
    </row>
    <row r="5" spans="1:9" x14ac:dyDescent="0.25">
      <c r="A5" s="66" t="s">
        <v>225</v>
      </c>
      <c r="B5" s="67" t="s">
        <v>101</v>
      </c>
      <c r="C5" s="67" t="s">
        <v>108</v>
      </c>
      <c r="D5" s="68" t="s">
        <v>129</v>
      </c>
      <c r="E5" s="69" t="s">
        <v>25</v>
      </c>
      <c r="F5" s="67" t="s">
        <v>112</v>
      </c>
      <c r="G5" s="67"/>
      <c r="H5" s="67" t="s">
        <v>137</v>
      </c>
    </row>
    <row r="6" spans="1:9" x14ac:dyDescent="0.25">
      <c r="A6" s="36">
        <v>446.27</v>
      </c>
      <c r="B6" s="14" t="s">
        <v>130</v>
      </c>
      <c r="C6" s="14" t="s">
        <v>126</v>
      </c>
      <c r="D6" s="37">
        <v>45358</v>
      </c>
      <c r="E6" s="18">
        <v>4001627</v>
      </c>
      <c r="F6" s="14">
        <v>24000186</v>
      </c>
      <c r="G6" s="14" t="s">
        <v>125</v>
      </c>
      <c r="H6" s="36">
        <v>380000</v>
      </c>
    </row>
    <row r="7" spans="1:9" x14ac:dyDescent="0.25">
      <c r="A7" s="36">
        <v>1646.88</v>
      </c>
      <c r="B7" s="14" t="s">
        <v>130</v>
      </c>
      <c r="C7" s="14" t="s">
        <v>126</v>
      </c>
      <c r="D7" s="37">
        <v>45391</v>
      </c>
      <c r="E7" s="18">
        <v>4004718</v>
      </c>
      <c r="F7" s="14">
        <v>24000263</v>
      </c>
      <c r="G7" s="14" t="s">
        <v>125</v>
      </c>
      <c r="H7" s="36">
        <v>1399.85</v>
      </c>
    </row>
    <row r="8" spans="1:9" x14ac:dyDescent="0.25">
      <c r="A8" s="36">
        <v>1646.88</v>
      </c>
      <c r="B8" s="14" t="s">
        <v>130</v>
      </c>
      <c r="C8" s="14" t="s">
        <v>126</v>
      </c>
      <c r="D8" s="37">
        <v>45391</v>
      </c>
      <c r="E8" s="18">
        <v>4011893</v>
      </c>
      <c r="F8" s="14">
        <v>24000263</v>
      </c>
      <c r="G8" s="14" t="s">
        <v>125</v>
      </c>
      <c r="H8" s="36">
        <v>1399.85</v>
      </c>
    </row>
    <row r="9" spans="1:9" x14ac:dyDescent="0.25">
      <c r="A9" s="36"/>
      <c r="B9" s="14"/>
      <c r="C9" s="14"/>
      <c r="D9" s="37"/>
      <c r="E9" s="18"/>
      <c r="F9" s="14"/>
      <c r="G9" s="14"/>
      <c r="H9" s="36"/>
    </row>
    <row r="10" spans="1:9" x14ac:dyDescent="0.25">
      <c r="A10" s="85">
        <f>SUM(A6:A9)</f>
        <v>3740.03</v>
      </c>
      <c r="B10" s="14"/>
      <c r="C10" s="14"/>
      <c r="D10" s="37"/>
      <c r="E10" s="18"/>
      <c r="F10" s="14"/>
      <c r="G10" s="14" t="s">
        <v>141</v>
      </c>
      <c r="H10" s="36">
        <f>SUM(H6:H9)</f>
        <v>382799.69999999995</v>
      </c>
    </row>
    <row r="11" spans="1:9" x14ac:dyDescent="0.25">
      <c r="A11" s="43"/>
      <c r="H11" s="43"/>
    </row>
    <row r="12" spans="1:9" x14ac:dyDescent="0.25">
      <c r="H12" s="43"/>
    </row>
    <row r="13" spans="1:9" ht="15.75" thickBot="1" x14ac:dyDescent="0.3">
      <c r="H13" s="43"/>
    </row>
    <row r="14" spans="1:9" ht="15.75" thickBot="1" x14ac:dyDescent="0.3">
      <c r="A14" s="62" t="s">
        <v>134</v>
      </c>
      <c r="B14" s="63" t="s">
        <v>320</v>
      </c>
      <c r="C14" s="63"/>
      <c r="D14" s="64"/>
      <c r="E14" s="65" t="s">
        <v>151</v>
      </c>
      <c r="F14" s="63" t="s">
        <v>152</v>
      </c>
      <c r="G14" s="63"/>
      <c r="H14" s="83"/>
      <c r="I14" s="153" t="s">
        <v>324</v>
      </c>
    </row>
    <row r="15" spans="1:9" ht="15.75" thickBot="1" x14ac:dyDescent="0.3">
      <c r="A15" s="70" t="s">
        <v>131</v>
      </c>
      <c r="B15" s="71" t="s">
        <v>133</v>
      </c>
      <c r="C15" s="71"/>
      <c r="D15" s="72"/>
      <c r="E15" s="73"/>
      <c r="F15" s="298" t="s">
        <v>227</v>
      </c>
      <c r="G15" s="298"/>
      <c r="H15" s="74">
        <v>3400</v>
      </c>
      <c r="I15" s="75">
        <f>+H15-H22</f>
        <v>170</v>
      </c>
    </row>
    <row r="16" spans="1:9" x14ac:dyDescent="0.25">
      <c r="A16" s="66" t="s">
        <v>231</v>
      </c>
      <c r="B16" s="67" t="s">
        <v>101</v>
      </c>
      <c r="C16" s="67" t="s">
        <v>108</v>
      </c>
      <c r="D16" s="68" t="s">
        <v>129</v>
      </c>
      <c r="E16" s="69" t="s">
        <v>25</v>
      </c>
      <c r="F16" s="67" t="s">
        <v>112</v>
      </c>
      <c r="G16" s="67"/>
      <c r="H16" s="67" t="s">
        <v>137</v>
      </c>
    </row>
    <row r="17" spans="1:9" x14ac:dyDescent="0.25">
      <c r="A17" s="36">
        <v>510</v>
      </c>
      <c r="B17" s="14" t="s">
        <v>136</v>
      </c>
      <c r="C17" s="14" t="s">
        <v>116</v>
      </c>
      <c r="D17" s="37">
        <v>45376</v>
      </c>
      <c r="E17" s="18">
        <v>4002463</v>
      </c>
      <c r="F17" s="14">
        <v>10042339</v>
      </c>
      <c r="G17" s="14" t="s">
        <v>134</v>
      </c>
      <c r="H17" s="36">
        <v>510</v>
      </c>
    </row>
    <row r="18" spans="1:9" x14ac:dyDescent="0.25">
      <c r="A18" s="36">
        <v>1020</v>
      </c>
      <c r="B18" s="14" t="s">
        <v>136</v>
      </c>
      <c r="C18" s="14" t="s">
        <v>116</v>
      </c>
      <c r="D18" s="37">
        <v>45391</v>
      </c>
      <c r="E18" s="18">
        <v>4004716</v>
      </c>
      <c r="F18" s="14">
        <v>10006588</v>
      </c>
      <c r="G18" s="14" t="s">
        <v>134</v>
      </c>
      <c r="H18" s="36">
        <f>510+510</f>
        <v>1020</v>
      </c>
    </row>
    <row r="19" spans="1:9" x14ac:dyDescent="0.25">
      <c r="A19" s="36">
        <v>1020</v>
      </c>
      <c r="B19" s="14" t="s">
        <v>136</v>
      </c>
      <c r="C19" s="14" t="s">
        <v>116</v>
      </c>
      <c r="D19" s="37">
        <v>45447</v>
      </c>
      <c r="E19" s="18">
        <v>4009635</v>
      </c>
      <c r="F19" s="14">
        <v>10014934</v>
      </c>
      <c r="G19" s="14" t="s">
        <v>134</v>
      </c>
      <c r="H19" s="36">
        <f>510+510</f>
        <v>1020</v>
      </c>
    </row>
    <row r="20" spans="1:9" x14ac:dyDescent="0.25">
      <c r="A20" s="36">
        <v>680</v>
      </c>
      <c r="B20" s="14" t="s">
        <v>136</v>
      </c>
      <c r="C20" s="14" t="s">
        <v>116</v>
      </c>
      <c r="D20" s="37">
        <v>45546</v>
      </c>
      <c r="E20" s="18">
        <v>4015507</v>
      </c>
      <c r="F20" s="14">
        <v>10027848</v>
      </c>
      <c r="G20" s="14" t="s">
        <v>134</v>
      </c>
      <c r="H20" s="36">
        <v>680</v>
      </c>
    </row>
    <row r="21" spans="1:9" x14ac:dyDescent="0.25">
      <c r="A21" s="36"/>
      <c r="B21" s="14"/>
      <c r="C21" s="14"/>
      <c r="D21" s="37"/>
      <c r="E21" s="18"/>
      <c r="F21" s="14"/>
      <c r="G21" s="14"/>
      <c r="H21" s="36"/>
    </row>
    <row r="22" spans="1:9" x14ac:dyDescent="0.25">
      <c r="A22" s="85">
        <f>SUM(A17:A20)</f>
        <v>3230</v>
      </c>
      <c r="B22" s="14"/>
      <c r="C22" s="14"/>
      <c r="D22" s="37"/>
      <c r="E22" s="18"/>
      <c r="F22" s="14"/>
      <c r="G22" s="14" t="s">
        <v>141</v>
      </c>
      <c r="H22" s="36">
        <f>SUM(H17:H20)</f>
        <v>3230</v>
      </c>
    </row>
    <row r="23" spans="1:9" x14ac:dyDescent="0.25">
      <c r="A23" s="43"/>
      <c r="H23" s="43"/>
    </row>
    <row r="24" spans="1:9" x14ac:dyDescent="0.25">
      <c r="A24" s="43"/>
      <c r="H24" s="43"/>
    </row>
    <row r="25" spans="1:9" ht="15.75" thickBot="1" x14ac:dyDescent="0.3"/>
    <row r="26" spans="1:9" ht="15.75" thickBot="1" x14ac:dyDescent="0.3">
      <c r="A26" s="62" t="s">
        <v>150</v>
      </c>
      <c r="B26" s="63"/>
      <c r="C26" s="63"/>
      <c r="D26" s="64"/>
      <c r="E26" s="65" t="s">
        <v>151</v>
      </c>
      <c r="F26" s="63" t="s">
        <v>152</v>
      </c>
      <c r="G26" s="63"/>
      <c r="H26" s="83"/>
      <c r="I26" s="153" t="s">
        <v>324</v>
      </c>
    </row>
    <row r="27" spans="1:9" ht="15.75" thickBot="1" x14ac:dyDescent="0.3">
      <c r="A27" s="70" t="s">
        <v>131</v>
      </c>
      <c r="B27" s="71" t="s">
        <v>147</v>
      </c>
      <c r="C27" s="71" t="s">
        <v>322</v>
      </c>
      <c r="D27" s="72"/>
      <c r="E27" s="73"/>
      <c r="F27" s="298" t="s">
        <v>227</v>
      </c>
      <c r="G27" s="298"/>
      <c r="H27" s="74">
        <v>4500</v>
      </c>
      <c r="I27" s="75">
        <f>+H27-H34</f>
        <v>500</v>
      </c>
    </row>
    <row r="28" spans="1:9" x14ac:dyDescent="0.25">
      <c r="A28" s="66" t="s">
        <v>231</v>
      </c>
      <c r="B28" s="67" t="s">
        <v>101</v>
      </c>
      <c r="C28" s="67" t="s">
        <v>108</v>
      </c>
      <c r="D28" s="68" t="s">
        <v>129</v>
      </c>
      <c r="E28" s="69" t="s">
        <v>25</v>
      </c>
      <c r="F28" s="67" t="s">
        <v>112</v>
      </c>
      <c r="G28" s="67"/>
      <c r="H28" s="67" t="s">
        <v>137</v>
      </c>
    </row>
    <row r="29" spans="1:9" x14ac:dyDescent="0.25">
      <c r="A29" s="36">
        <v>500</v>
      </c>
      <c r="B29" s="14" t="s">
        <v>149</v>
      </c>
      <c r="C29" s="14" t="s">
        <v>116</v>
      </c>
      <c r="D29" s="37">
        <v>45418</v>
      </c>
      <c r="E29" s="18">
        <v>4007106</v>
      </c>
      <c r="F29" s="14" t="s">
        <v>139</v>
      </c>
      <c r="G29" s="14" t="s">
        <v>148</v>
      </c>
      <c r="H29" s="36">
        <v>500</v>
      </c>
    </row>
    <row r="30" spans="1:9" x14ac:dyDescent="0.25">
      <c r="A30" s="36">
        <v>2500</v>
      </c>
      <c r="B30" s="14" t="s">
        <v>149</v>
      </c>
      <c r="C30" s="14" t="s">
        <v>116</v>
      </c>
      <c r="D30" s="37">
        <v>45526</v>
      </c>
      <c r="E30" s="18">
        <v>4013649</v>
      </c>
      <c r="F30" s="14" t="s">
        <v>222</v>
      </c>
      <c r="G30" s="14" t="s">
        <v>223</v>
      </c>
      <c r="H30" s="36">
        <v>2500</v>
      </c>
    </row>
    <row r="31" spans="1:9" x14ac:dyDescent="0.25">
      <c r="A31" s="36">
        <v>1000</v>
      </c>
      <c r="B31" s="14" t="s">
        <v>149</v>
      </c>
      <c r="C31" s="14" t="s">
        <v>116</v>
      </c>
      <c r="D31" s="37"/>
      <c r="E31" s="18"/>
      <c r="F31" s="14" t="s">
        <v>224</v>
      </c>
      <c r="G31" s="14" t="s">
        <v>223</v>
      </c>
      <c r="H31" s="36">
        <v>1000</v>
      </c>
    </row>
    <row r="32" spans="1:9" x14ac:dyDescent="0.25">
      <c r="A32" s="36"/>
      <c r="B32" s="14"/>
      <c r="C32" s="14"/>
      <c r="D32" s="37"/>
      <c r="E32" s="18"/>
      <c r="F32" s="14"/>
      <c r="G32" s="14"/>
      <c r="H32" s="36"/>
    </row>
    <row r="33" spans="1:9" x14ac:dyDescent="0.25">
      <c r="B33" s="14"/>
      <c r="C33" s="14"/>
      <c r="D33" s="37"/>
      <c r="E33" s="18"/>
      <c r="F33" s="14"/>
      <c r="G33" s="14"/>
      <c r="H33" s="36"/>
    </row>
    <row r="34" spans="1:9" x14ac:dyDescent="0.25">
      <c r="A34" s="85">
        <f>SUM(A29:A32)</f>
        <v>4000</v>
      </c>
      <c r="B34" s="14"/>
      <c r="C34" s="14"/>
      <c r="D34" s="37"/>
      <c r="E34" s="18"/>
      <c r="F34" s="14"/>
      <c r="G34" s="14" t="s">
        <v>141</v>
      </c>
      <c r="H34" s="36">
        <f>+H33+H32+H31+H30+H29</f>
        <v>4000</v>
      </c>
    </row>
    <row r="36" spans="1:9" ht="15.75" thickBot="1" x14ac:dyDescent="0.3"/>
    <row r="37" spans="1:9" ht="44.1" customHeight="1" thickBot="1" x14ac:dyDescent="0.3">
      <c r="A37" s="76" t="s">
        <v>135</v>
      </c>
      <c r="B37" s="77" t="s">
        <v>229</v>
      </c>
      <c r="C37" s="300" t="s">
        <v>230</v>
      </c>
      <c r="D37" s="300"/>
      <c r="E37" s="78" t="s">
        <v>151</v>
      </c>
      <c r="F37" s="77" t="s">
        <v>153</v>
      </c>
      <c r="G37" s="77"/>
      <c r="H37" s="79"/>
      <c r="I37" s="153" t="s">
        <v>324</v>
      </c>
    </row>
    <row r="38" spans="1:9" ht="15.75" thickBot="1" x14ac:dyDescent="0.3">
      <c r="A38" s="76" t="s">
        <v>131</v>
      </c>
      <c r="B38" s="77" t="s">
        <v>228</v>
      </c>
      <c r="C38" s="77" t="s">
        <v>323</v>
      </c>
      <c r="D38" s="80"/>
      <c r="E38" s="81"/>
      <c r="F38" s="299" t="s">
        <v>227</v>
      </c>
      <c r="G38" s="299"/>
      <c r="H38" s="79">
        <v>10800</v>
      </c>
      <c r="I38" s="82">
        <f>+H38-H45</f>
        <v>10800</v>
      </c>
    </row>
    <row r="39" spans="1:9" x14ac:dyDescent="0.25">
      <c r="A39" s="66" t="s">
        <v>231</v>
      </c>
      <c r="B39" s="67" t="s">
        <v>101</v>
      </c>
      <c r="C39" s="67" t="s">
        <v>108</v>
      </c>
      <c r="D39" s="68" t="s">
        <v>129</v>
      </c>
      <c r="E39" s="69" t="s">
        <v>25</v>
      </c>
      <c r="F39" s="67" t="s">
        <v>112</v>
      </c>
      <c r="G39" s="67"/>
      <c r="H39" s="67" t="s">
        <v>137</v>
      </c>
    </row>
    <row r="40" spans="1:9" x14ac:dyDescent="0.25">
      <c r="A40" s="36"/>
      <c r="B40" s="14"/>
      <c r="C40" s="14"/>
      <c r="D40" s="37"/>
      <c r="E40" s="18"/>
      <c r="F40" s="14"/>
      <c r="G40" s="14"/>
      <c r="H40" s="36"/>
    </row>
    <row r="41" spans="1:9" x14ac:dyDescent="0.25">
      <c r="A41" s="36"/>
      <c r="B41" s="14"/>
      <c r="C41" s="14"/>
      <c r="D41" s="37"/>
      <c r="E41" s="18"/>
      <c r="F41" s="14"/>
      <c r="G41" s="14"/>
      <c r="H41" s="36"/>
    </row>
    <row r="42" spans="1:9" x14ac:dyDescent="0.25">
      <c r="A42" s="36"/>
      <c r="B42" s="14"/>
      <c r="C42" s="14"/>
      <c r="D42" s="37"/>
      <c r="E42" s="18"/>
      <c r="F42" s="14"/>
      <c r="G42" s="14"/>
      <c r="H42" s="36"/>
    </row>
    <row r="43" spans="1:9" x14ac:dyDescent="0.25">
      <c r="A43" s="36"/>
      <c r="B43" s="14"/>
      <c r="C43" s="14"/>
      <c r="D43" s="37"/>
      <c r="E43" s="18"/>
      <c r="F43" s="14"/>
      <c r="G43" s="14"/>
      <c r="H43" s="36"/>
    </row>
    <row r="44" spans="1:9" x14ac:dyDescent="0.25">
      <c r="B44" s="14"/>
      <c r="C44" s="14"/>
      <c r="D44" s="37"/>
      <c r="E44" s="18"/>
      <c r="F44" s="14"/>
      <c r="G44" s="14"/>
      <c r="H44" s="36"/>
    </row>
    <row r="45" spans="1:9" x14ac:dyDescent="0.25">
      <c r="A45" s="85">
        <f>SUM(A40:A43)</f>
        <v>0</v>
      </c>
      <c r="B45" s="14"/>
      <c r="C45" s="14"/>
      <c r="D45" s="37"/>
      <c r="E45" s="18"/>
      <c r="F45" s="14"/>
      <c r="G45" s="14" t="s">
        <v>141</v>
      </c>
      <c r="H45" s="36">
        <f>+H44+H43+H42+H41+H40</f>
        <v>0</v>
      </c>
    </row>
  </sheetData>
  <mergeCells count="5">
    <mergeCell ref="F4:G4"/>
    <mergeCell ref="F15:G15"/>
    <mergeCell ref="F27:G27"/>
    <mergeCell ref="F38:G38"/>
    <mergeCell ref="C37:D37"/>
  </mergeCells>
  <pageMargins left="0.7" right="0.7" top="0.75" bottom="0.75" header="0.3" footer="0.3"/>
  <pageSetup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BASE</vt:lpstr>
      <vt:lpstr>REPORTE DE IMPORTACIONES</vt:lpstr>
      <vt:lpstr>CONCENTRADO ANUAL 2025</vt:lpstr>
      <vt:lpstr>DESCARGO</vt:lpstr>
      <vt:lpstr>DESCARGO!Área_de_impresión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Monserrat Reyes Flores</dc:creator>
  <cp:lastModifiedBy>Jair Enrique Paredes Apodaca</cp:lastModifiedBy>
  <cp:lastPrinted>2024-03-11T21:55:18Z</cp:lastPrinted>
  <dcterms:created xsi:type="dcterms:W3CDTF">2023-01-31T18:46:09Z</dcterms:created>
  <dcterms:modified xsi:type="dcterms:W3CDTF">2025-02-25T17:31:01Z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